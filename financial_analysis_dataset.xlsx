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5.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ab55eda261b67c18/Documents/excel/"/>
    </mc:Choice>
  </mc:AlternateContent>
  <xr:revisionPtr revIDLastSave="0" documentId="8_{D38C537F-A36A-429A-BEB5-80544EF06ECA}" xr6:coauthVersionLast="47" xr6:coauthVersionMax="47" xr10:uidLastSave="{00000000-0000-0000-0000-000000000000}"/>
  <bookViews>
    <workbookView xWindow="-110" yWindow="-110" windowWidth="19420" windowHeight="10300" tabRatio="946" activeTab="7" xr2:uid="{00000000-000D-0000-FFFF-FFFF00000000}"/>
  </bookViews>
  <sheets>
    <sheet name="revenue vs expenses" sheetId="6" r:id="rId1"/>
    <sheet name="Monthly revenue" sheetId="5" r:id="rId2"/>
    <sheet name="profit by region" sheetId="7" r:id="rId3"/>
    <sheet name="profit by category" sheetId="8" r:id="rId4"/>
    <sheet name="Sheet9" sheetId="10" r:id="rId5"/>
    <sheet name="monthly profit " sheetId="9" r:id="rId6"/>
    <sheet name="Financial_Data" sheetId="1" r:id="rId7"/>
    <sheet name="Sheet11" sheetId="12" r:id="rId8"/>
  </sheets>
  <definedNames>
    <definedName name="Slicer_Product_Category">#N/A</definedName>
    <definedName name="Slicer_Year">#N/A</definedName>
  </definedNames>
  <calcPr calcId="191029"/>
  <pivotCaches>
    <pivotCache cacheId="4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0" l="1"/>
  <c r="D5" i="10"/>
  <c r="D7" i="10" s="1"/>
  <c r="D4" i="10"/>
  <c r="M7" i="1"/>
  <c r="M6" i="1"/>
  <c r="M5" i="1"/>
  <c r="M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alcChain>
</file>

<file path=xl/sharedStrings.xml><?xml version="1.0" encoding="utf-8"?>
<sst xmlns="http://schemas.openxmlformats.org/spreadsheetml/2006/main" count="938" uniqueCount="285">
  <si>
    <t>Date</t>
  </si>
  <si>
    <t>Region</t>
  </si>
  <si>
    <t>Product_Category</t>
  </si>
  <si>
    <t>Revenue</t>
  </si>
  <si>
    <t>Expenses</t>
  </si>
  <si>
    <t>Profit</t>
  </si>
  <si>
    <t>Marketing_Spend</t>
  </si>
  <si>
    <t>2022-04-26</t>
  </si>
  <si>
    <t>East</t>
  </si>
  <si>
    <t>Electronics</t>
  </si>
  <si>
    <t>2022-01-06</t>
  </si>
  <si>
    <t>West</t>
  </si>
  <si>
    <t>Furniture</t>
  </si>
  <si>
    <t>2023-10-14</t>
  </si>
  <si>
    <t>2024-01-30</t>
  </si>
  <si>
    <t>North</t>
  </si>
  <si>
    <t>2022-05-14</t>
  </si>
  <si>
    <t>2022-10-20</t>
  </si>
  <si>
    <t>2022-08-05</t>
  </si>
  <si>
    <t>Technology</t>
  </si>
  <si>
    <t>2023-10-11</t>
  </si>
  <si>
    <t>South</t>
  </si>
  <si>
    <t>2024-03-01</t>
  </si>
  <si>
    <t>Office Supplies</t>
  </si>
  <si>
    <t>2022-07-29</t>
  </si>
  <si>
    <t>2023-03-18</t>
  </si>
  <si>
    <t>2024-03-29</t>
  </si>
  <si>
    <t>2023-08-02</t>
  </si>
  <si>
    <t>2023-07-24</t>
  </si>
  <si>
    <t>2023-10-29</t>
  </si>
  <si>
    <t>2022-06-21</t>
  </si>
  <si>
    <t>2023-11-21</t>
  </si>
  <si>
    <t>2023-01-23</t>
  </si>
  <si>
    <t>2022-01-07</t>
  </si>
  <si>
    <t>2023-11-28</t>
  </si>
  <si>
    <t>2023-07-07</t>
  </si>
  <si>
    <t>2022-08-04</t>
  </si>
  <si>
    <t>2023-07-08</t>
  </si>
  <si>
    <t>2023-01-09</t>
  </si>
  <si>
    <t>2023-12-02</t>
  </si>
  <si>
    <t>2023-02-16</t>
  </si>
  <si>
    <t>2024-06-08</t>
  </si>
  <si>
    <t>2022-07-01</t>
  </si>
  <si>
    <t>2023-12-29</t>
  </si>
  <si>
    <t>2023-08-15</t>
  </si>
  <si>
    <t>2022-01-29</t>
  </si>
  <si>
    <t>2022-01-26</t>
  </si>
  <si>
    <t>2024-04-09</t>
  </si>
  <si>
    <t>2022-12-10</t>
  </si>
  <si>
    <t>2023-12-25</t>
  </si>
  <si>
    <t>2023-10-04</t>
  </si>
  <si>
    <t>2022-06-22</t>
  </si>
  <si>
    <t>2023-02-06</t>
  </si>
  <si>
    <t>2022-05-22</t>
  </si>
  <si>
    <t>2022-10-19</t>
  </si>
  <si>
    <t>2024-02-23</t>
  </si>
  <si>
    <t>2023-02-10</t>
  </si>
  <si>
    <t>2022-10-04</t>
  </si>
  <si>
    <t>2024-05-31</t>
  </si>
  <si>
    <t>2023-06-15</t>
  </si>
  <si>
    <t>2022-05-13</t>
  </si>
  <si>
    <t>2023-11-17</t>
  </si>
  <si>
    <t>2024-01-28</t>
  </si>
  <si>
    <t>2023-04-11</t>
  </si>
  <si>
    <t>2022-11-26</t>
  </si>
  <si>
    <t>2024-05-01</t>
  </si>
  <si>
    <t>2024-06-13</t>
  </si>
  <si>
    <t>2022-03-26</t>
  </si>
  <si>
    <t>2023-01-02</t>
  </si>
  <si>
    <t>2024-02-28</t>
  </si>
  <si>
    <t>2023-06-28</t>
  </si>
  <si>
    <t>2024-02-06</t>
  </si>
  <si>
    <t>2022-10-23</t>
  </si>
  <si>
    <t>2022-06-23</t>
  </si>
  <si>
    <t>2024-04-03</t>
  </si>
  <si>
    <t>2023-04-14</t>
  </si>
  <si>
    <t>2023-12-26</t>
  </si>
  <si>
    <t>2022-02-14</t>
  </si>
  <si>
    <t>2022-08-09</t>
  </si>
  <si>
    <t>2022-07-09</t>
  </si>
  <si>
    <t>2024-03-28</t>
  </si>
  <si>
    <t>2023-01-10</t>
  </si>
  <si>
    <t>2024-03-25</t>
  </si>
  <si>
    <t>2023-11-02</t>
  </si>
  <si>
    <t>2022-11-28</t>
  </si>
  <si>
    <t>2022-10-30</t>
  </si>
  <si>
    <t>2023-09-25</t>
  </si>
  <si>
    <t>2022-09-14</t>
  </si>
  <si>
    <t>2022-08-22</t>
  </si>
  <si>
    <t>2024-01-06</t>
  </si>
  <si>
    <t>2022-10-12</t>
  </si>
  <si>
    <t>2022-05-31</t>
  </si>
  <si>
    <t>2023-12-18</t>
  </si>
  <si>
    <t>2024-06-14</t>
  </si>
  <si>
    <t>2023-09-07</t>
  </si>
  <si>
    <t>2022-05-05</t>
  </si>
  <si>
    <t>2022-12-26</t>
  </si>
  <si>
    <t>2022-11-16</t>
  </si>
  <si>
    <t>2022-11-17</t>
  </si>
  <si>
    <t>2023-12-12</t>
  </si>
  <si>
    <t>2023-11-30</t>
  </si>
  <si>
    <t>2022-12-25</t>
  </si>
  <si>
    <t>2024-01-18</t>
  </si>
  <si>
    <t>2022-11-04</t>
  </si>
  <si>
    <t>2022-08-11</t>
  </si>
  <si>
    <t>2023-11-29</t>
  </si>
  <si>
    <t>2023-01-15</t>
  </si>
  <si>
    <t>2023-08-20</t>
  </si>
  <si>
    <t>2022-01-20</t>
  </si>
  <si>
    <t>2023-04-17</t>
  </si>
  <si>
    <t>2023-10-30</t>
  </si>
  <si>
    <t>2023-09-22</t>
  </si>
  <si>
    <t>2023-06-05</t>
  </si>
  <si>
    <t>2024-02-02</t>
  </si>
  <si>
    <t>2022-05-23</t>
  </si>
  <si>
    <t>2022-08-29</t>
  </si>
  <si>
    <t>2023-07-25</t>
  </si>
  <si>
    <t>2022-02-07</t>
  </si>
  <si>
    <t>2024-01-03</t>
  </si>
  <si>
    <t>2023-06-29</t>
  </si>
  <si>
    <t>2022-07-23</t>
  </si>
  <si>
    <t>2023-10-10</t>
  </si>
  <si>
    <t>2022-01-21</t>
  </si>
  <si>
    <t>2022-03-15</t>
  </si>
  <si>
    <t>2022-03-08</t>
  </si>
  <si>
    <t>2022-12-12</t>
  </si>
  <si>
    <t>2022-05-12</t>
  </si>
  <si>
    <t>2022-07-26</t>
  </si>
  <si>
    <t>2022-02-03</t>
  </si>
  <si>
    <t>2023-06-20</t>
  </si>
  <si>
    <t>2023-01-07</t>
  </si>
  <si>
    <t>2022-10-13</t>
  </si>
  <si>
    <t>2023-06-10</t>
  </si>
  <si>
    <t>2023-04-04</t>
  </si>
  <si>
    <t>2023-02-18</t>
  </si>
  <si>
    <t>2022-11-07</t>
  </si>
  <si>
    <t>2023-05-31</t>
  </si>
  <si>
    <t>2022-01-27</t>
  </si>
  <si>
    <t>2023-11-16</t>
  </si>
  <si>
    <t>2023-08-21</t>
  </si>
  <si>
    <t>2022-09-07</t>
  </si>
  <si>
    <t>2022-08-13</t>
  </si>
  <si>
    <t>2023-04-15</t>
  </si>
  <si>
    <t>2022-02-17</t>
  </si>
  <si>
    <t>2022-12-07</t>
  </si>
  <si>
    <t>2024-01-22</t>
  </si>
  <si>
    <t>2024-01-02</t>
  </si>
  <si>
    <t>2022-06-24</t>
  </si>
  <si>
    <t>2023-02-07</t>
  </si>
  <si>
    <t>2023-06-27</t>
  </si>
  <si>
    <t>2022-03-30</t>
  </si>
  <si>
    <t>2023-12-27</t>
  </si>
  <si>
    <t>2022-08-20</t>
  </si>
  <si>
    <t>2022-12-28</t>
  </si>
  <si>
    <t>2022-08-25</t>
  </si>
  <si>
    <t>2024-01-25</t>
  </si>
  <si>
    <t>2023-09-24</t>
  </si>
  <si>
    <t>2022-09-26</t>
  </si>
  <si>
    <t>2023-07-28</t>
  </si>
  <si>
    <t>2023-01-31</t>
  </si>
  <si>
    <t>2023-12-30</t>
  </si>
  <si>
    <t>2022-07-17</t>
  </si>
  <si>
    <t>2023-05-02</t>
  </si>
  <si>
    <t>2023-09-23</t>
  </si>
  <si>
    <t>2023-01-20</t>
  </si>
  <si>
    <t>2024-05-11</t>
  </si>
  <si>
    <t>2024-05-05</t>
  </si>
  <si>
    <t>2022-10-14</t>
  </si>
  <si>
    <t>2023-03-21</t>
  </si>
  <si>
    <t>2022-06-17</t>
  </si>
  <si>
    <t>2024-06-12</t>
  </si>
  <si>
    <t>2022-09-16</t>
  </si>
  <si>
    <t>2022-01-09</t>
  </si>
  <si>
    <t>2023-06-04</t>
  </si>
  <si>
    <t>2023-08-16</t>
  </si>
  <si>
    <t>2023-07-11</t>
  </si>
  <si>
    <t>2022-06-28</t>
  </si>
  <si>
    <t>2022-09-13</t>
  </si>
  <si>
    <t>2023-10-08</t>
  </si>
  <si>
    <t>2023-08-06</t>
  </si>
  <si>
    <t>2024-05-30</t>
  </si>
  <si>
    <t>2022-01-10</t>
  </si>
  <si>
    <t>2022-07-25</t>
  </si>
  <si>
    <t>2022-03-25</t>
  </si>
  <si>
    <t>2023-03-19</t>
  </si>
  <si>
    <t>2023-05-06</t>
  </si>
  <si>
    <t>2022-10-07</t>
  </si>
  <si>
    <t>2023-09-14</t>
  </si>
  <si>
    <t>2023-04-30</t>
  </si>
  <si>
    <t>2022-04-05</t>
  </si>
  <si>
    <t>2023-09-01</t>
  </si>
  <si>
    <t>2023-06-06</t>
  </si>
  <si>
    <t>2022-09-27</t>
  </si>
  <si>
    <t>2023-09-29</t>
  </si>
  <si>
    <t>2022-10-05</t>
  </si>
  <si>
    <t>2023-08-12</t>
  </si>
  <si>
    <t>2023-09-17</t>
  </si>
  <si>
    <t>2023-03-13</t>
  </si>
  <si>
    <t>2022-01-19</t>
  </si>
  <si>
    <t>2022-04-01</t>
  </si>
  <si>
    <t>2022-03-22</t>
  </si>
  <si>
    <t>2023-11-06</t>
  </si>
  <si>
    <t>2023-05-12</t>
  </si>
  <si>
    <t>2024-06-03</t>
  </si>
  <si>
    <t>2023-06-09</t>
  </si>
  <si>
    <t>2024-03-16</t>
  </si>
  <si>
    <t>2022-09-19</t>
  </si>
  <si>
    <t>2023-03-14</t>
  </si>
  <si>
    <t>2022-04-14</t>
  </si>
  <si>
    <t>2023-10-02</t>
  </si>
  <si>
    <t>2022-02-18</t>
  </si>
  <si>
    <t>2022-06-10</t>
  </si>
  <si>
    <t>2024-02-21</t>
  </si>
  <si>
    <t>2022-06-08</t>
  </si>
  <si>
    <t>2023-12-13</t>
  </si>
  <si>
    <t>2024-05-10</t>
  </si>
  <si>
    <t>2023-01-25</t>
  </si>
  <si>
    <t>2022-03-13</t>
  </si>
  <si>
    <t>2023-02-19</t>
  </si>
  <si>
    <t>2022-06-29</t>
  </si>
  <si>
    <t>2022-02-13</t>
  </si>
  <si>
    <t>2022-11-29</t>
  </si>
  <si>
    <t>2023-03-23</t>
  </si>
  <si>
    <t>2023-03-24</t>
  </si>
  <si>
    <t>2024-03-14</t>
  </si>
  <si>
    <t>2022-09-06</t>
  </si>
  <si>
    <t>2023-07-27</t>
  </si>
  <si>
    <t>2023-02-04</t>
  </si>
  <si>
    <t>2023-10-18</t>
  </si>
  <si>
    <t>2022-05-09</t>
  </si>
  <si>
    <t>2022-08-12</t>
  </si>
  <si>
    <t>2023-05-23</t>
  </si>
  <si>
    <t>2024-04-17</t>
  </si>
  <si>
    <t>2023-09-02</t>
  </si>
  <si>
    <t>2022-04-23</t>
  </si>
  <si>
    <t>2024-03-31</t>
  </si>
  <si>
    <t>2022-02-01</t>
  </si>
  <si>
    <t>2023-03-22</t>
  </si>
  <si>
    <t>2022-12-27</t>
  </si>
  <si>
    <t>2023-09-16</t>
  </si>
  <si>
    <t>2022-06-09</t>
  </si>
  <si>
    <t>2023-05-03</t>
  </si>
  <si>
    <t>2023-09-18</t>
  </si>
  <si>
    <t>2022-07-16</t>
  </si>
  <si>
    <t>2023-11-25</t>
  </si>
  <si>
    <t>2022-02-22</t>
  </si>
  <si>
    <t>2023-05-19</t>
  </si>
  <si>
    <t>2022-07-21</t>
  </si>
  <si>
    <t>2022-10-22</t>
  </si>
  <si>
    <t>2022-03-09</t>
  </si>
  <si>
    <t>2023-07-04</t>
  </si>
  <si>
    <t>2022-03-28</t>
  </si>
  <si>
    <t>2023-02-27</t>
  </si>
  <si>
    <t>2022-08-30</t>
  </si>
  <si>
    <t>2024-01-29</t>
  </si>
  <si>
    <t>2024-01-19</t>
  </si>
  <si>
    <t>2024-01-15</t>
  </si>
  <si>
    <t>2023-05-09</t>
  </si>
  <si>
    <t>2022-07-15</t>
  </si>
  <si>
    <t>2022-11-23</t>
  </si>
  <si>
    <t>2022-03-23</t>
  </si>
  <si>
    <t>2022-03-31</t>
  </si>
  <si>
    <t>2022-01-04</t>
  </si>
  <si>
    <t>2022-08-14</t>
  </si>
  <si>
    <t>2023-10-22</t>
  </si>
  <si>
    <t>2022-02-05</t>
  </si>
  <si>
    <t>2022-12-31</t>
  </si>
  <si>
    <t>2023-04-29</t>
  </si>
  <si>
    <t>2023-06-16</t>
  </si>
  <si>
    <t>2023-11-18</t>
  </si>
  <si>
    <t>2022-12-01</t>
  </si>
  <si>
    <t>2022-09-04</t>
  </si>
  <si>
    <t>2024-06-04</t>
  </si>
  <si>
    <t>Row Labels</t>
  </si>
  <si>
    <t>Sum of Revenue</t>
  </si>
  <si>
    <t>Month</t>
  </si>
  <si>
    <t>Year</t>
  </si>
  <si>
    <t>Column Labels</t>
  </si>
  <si>
    <t>Sum of Expenses</t>
  </si>
  <si>
    <t>Sum of Profit</t>
  </si>
  <si>
    <t>Total Revenue</t>
  </si>
  <si>
    <t xml:space="preserve">Total Profit </t>
  </si>
  <si>
    <t>Total Expense</t>
  </si>
  <si>
    <t xml:space="preserve">Profit Margin </t>
  </si>
  <si>
    <t>Financial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</si>
</sst>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quot;₹&quot;\ #,##0"/>
  </numFmts>
  <fonts count="2" x14ac:knownFonts="1">
    <font>
      <sz val="11"/>
      <color theme="1"/>
      <name val="Tw Cen MT"/>
      <family val="2"/>
      <scheme val="minor"/>
    </font>
    <font>
      <b/>
      <sz val="22"/>
      <color theme="1"/>
      <name val="Tw Cen MT"/>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 fillId="0" borderId="0" xfId="0" applyFont="1"/>
    <xf numFmtId="10" fontId="1" fillId="0" borderId="0" xfId="0" applyNumberFormat="1" applyFont="1"/>
    <xf numFmtId="0" fontId="1" fillId="0" borderId="0" xfId="0" applyFont="1" applyBorder="1"/>
    <xf numFmtId="10" fontId="1" fillId="0" borderId="0" xfId="0" applyNumberFormat="1" applyFont="1" applyBorder="1"/>
    <xf numFmtId="0" fontId="1" fillId="0" borderId="0" xfId="0" applyFont="1" applyBorder="1"/>
    <xf numFmtId="0" fontId="0" fillId="2" borderId="0" xfId="0" applyFill="1"/>
    <xf numFmtId="173" fontId="1" fillId="0" borderId="0" xfId="0" applyNumberFormat="1" applyFont="1" applyBorder="1"/>
  </cellXfs>
  <cellStyles count="1">
    <cellStyle name="Normal" xfId="0" builtinId="0"/>
  </cellStyles>
  <dxfs count="3">
    <dxf>
      <numFmt numFmtId="1" formatCode="0"/>
    </dxf>
    <dxf>
      <numFmt numFmtId="0" formatCode="General"/>
    </dxf>
    <dxf>
      <numFmt numFmtId="0" formatCode="General"/>
    </dxf>
  </dxfs>
  <tableStyles count="0" defaultTableStyle="TableStyleMedium9" defaultPivotStyle="PivotStyleLight16"/>
  <colors>
    <mruColors>
      <color rgb="FFE5F8FF"/>
      <color rgb="FFFF33CC"/>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[financial_analysis_dataset.xlsx]profit by region!PivotTable12</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80336832895888"/>
          <c:y val="2.7777777777777776E-2"/>
          <c:w val="0.83428915135608062"/>
          <c:h val="0.86482283464566934"/>
        </c:manualLayout>
      </c:layout>
      <c:bar3DChart>
        <c:barDir val="bar"/>
        <c:grouping val="clustered"/>
        <c:varyColors val="0"/>
        <c:ser>
          <c:idx val="0"/>
          <c:order val="0"/>
          <c:tx>
            <c:strRef>
              <c:f>'profit by region'!$B$3</c:f>
              <c:strCache>
                <c:ptCount val="1"/>
                <c:pt idx="0">
                  <c:v>Total</c:v>
                </c:pt>
              </c:strCache>
            </c:strRef>
          </c:tx>
          <c:spPr>
            <a:solidFill>
              <a:schemeClr val="accent1"/>
            </a:solidFill>
            <a:ln>
              <a:noFill/>
            </a:ln>
            <a:effectLst/>
            <a:sp3d/>
          </c:spPr>
          <c:invertIfNegative val="0"/>
          <c:cat>
            <c:strRef>
              <c:f>'profit by region'!$A$4:$A$7</c:f>
              <c:strCache>
                <c:ptCount val="4"/>
                <c:pt idx="0">
                  <c:v>South</c:v>
                </c:pt>
                <c:pt idx="1">
                  <c:v>West</c:v>
                </c:pt>
                <c:pt idx="2">
                  <c:v>North</c:v>
                </c:pt>
                <c:pt idx="3">
                  <c:v>East</c:v>
                </c:pt>
              </c:strCache>
            </c:strRef>
          </c:cat>
          <c:val>
            <c:numRef>
              <c:f>'profit by region'!$B$4:$B$7</c:f>
              <c:numCache>
                <c:formatCode>General</c:formatCode>
                <c:ptCount val="4"/>
                <c:pt idx="0">
                  <c:v>754481</c:v>
                </c:pt>
                <c:pt idx="1">
                  <c:v>1431557</c:v>
                </c:pt>
                <c:pt idx="2">
                  <c:v>1709241</c:v>
                </c:pt>
                <c:pt idx="3">
                  <c:v>2308309</c:v>
                </c:pt>
              </c:numCache>
            </c:numRef>
          </c:val>
          <c:extLst>
            <c:ext xmlns:c16="http://schemas.microsoft.com/office/drawing/2014/chart" uri="{C3380CC4-5D6E-409C-BE32-E72D297353CC}">
              <c16:uniqueId val="{00000000-A231-436D-9EB7-E1D8AA7C6102}"/>
            </c:ext>
          </c:extLst>
        </c:ser>
        <c:dLbls>
          <c:showLegendKey val="0"/>
          <c:showVal val="0"/>
          <c:showCatName val="0"/>
          <c:showSerName val="0"/>
          <c:showPercent val="0"/>
          <c:showBubbleSize val="0"/>
        </c:dLbls>
        <c:gapWidth val="150"/>
        <c:shape val="box"/>
        <c:axId val="1826139632"/>
        <c:axId val="1826124752"/>
        <c:axId val="0"/>
      </c:bar3DChart>
      <c:catAx>
        <c:axId val="1826139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24752"/>
        <c:crosses val="autoZero"/>
        <c:auto val="1"/>
        <c:lblAlgn val="ctr"/>
        <c:lblOffset val="100"/>
        <c:noMultiLvlLbl val="0"/>
      </c:catAx>
      <c:valAx>
        <c:axId val="182612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[financial_analysis_dataset.xlsx]profit by category!PivotTable13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category'!$B$3</c:f>
              <c:strCache>
                <c:ptCount val="1"/>
                <c:pt idx="0">
                  <c:v>Total</c:v>
                </c:pt>
              </c:strCache>
            </c:strRef>
          </c:tx>
          <c:spPr>
            <a:solidFill>
              <a:schemeClr val="accent1"/>
            </a:solidFill>
            <a:ln>
              <a:noFill/>
            </a:ln>
            <a:effectLst/>
            <a:sp3d/>
          </c:spPr>
          <c:invertIfNegative val="0"/>
          <c:cat>
            <c:strRef>
              <c:f>'profit by category'!$A$4:$A$7</c:f>
              <c:strCache>
                <c:ptCount val="4"/>
                <c:pt idx="0">
                  <c:v>Electronics</c:v>
                </c:pt>
                <c:pt idx="1">
                  <c:v>Furniture</c:v>
                </c:pt>
                <c:pt idx="2">
                  <c:v>Office Supplies</c:v>
                </c:pt>
                <c:pt idx="3">
                  <c:v>Technology</c:v>
                </c:pt>
              </c:strCache>
            </c:strRef>
          </c:cat>
          <c:val>
            <c:numRef>
              <c:f>'profit by category'!$B$4:$B$7</c:f>
              <c:numCache>
                <c:formatCode>General</c:formatCode>
                <c:ptCount val="4"/>
                <c:pt idx="0">
                  <c:v>1221392</c:v>
                </c:pt>
                <c:pt idx="1">
                  <c:v>1468890</c:v>
                </c:pt>
                <c:pt idx="2">
                  <c:v>1918929</c:v>
                </c:pt>
                <c:pt idx="3">
                  <c:v>1594377</c:v>
                </c:pt>
              </c:numCache>
            </c:numRef>
          </c:val>
          <c:extLst>
            <c:ext xmlns:c16="http://schemas.microsoft.com/office/drawing/2014/chart" uri="{C3380CC4-5D6E-409C-BE32-E72D297353CC}">
              <c16:uniqueId val="{00000000-F6E5-4D84-8FED-BE66300A3C17}"/>
            </c:ext>
          </c:extLst>
        </c:ser>
        <c:dLbls>
          <c:showLegendKey val="0"/>
          <c:showVal val="0"/>
          <c:showCatName val="0"/>
          <c:showSerName val="0"/>
          <c:showPercent val="0"/>
          <c:showBubbleSize val="0"/>
        </c:dLbls>
        <c:gapWidth val="150"/>
        <c:shape val="box"/>
        <c:axId val="1826094512"/>
        <c:axId val="1826089232"/>
        <c:axId val="0"/>
      </c:bar3DChart>
      <c:catAx>
        <c:axId val="1826094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089232"/>
        <c:crosses val="autoZero"/>
        <c:auto val="1"/>
        <c:lblAlgn val="ctr"/>
        <c:lblOffset val="100"/>
        <c:noMultiLvlLbl val="0"/>
      </c:catAx>
      <c:valAx>
        <c:axId val="182608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09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[financial_analysis_dataset.xlsx]profit by region!PivotTable12</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region'!$B$3</c:f>
              <c:strCache>
                <c:ptCount val="1"/>
                <c:pt idx="0">
                  <c:v>Total</c:v>
                </c:pt>
              </c:strCache>
            </c:strRef>
          </c:tx>
          <c:spPr>
            <a:solidFill>
              <a:schemeClr val="accent1"/>
            </a:solidFill>
            <a:ln>
              <a:noFill/>
            </a:ln>
            <a:effectLst/>
            <a:sp3d/>
          </c:spPr>
          <c:invertIfNegative val="0"/>
          <c:cat>
            <c:strRef>
              <c:f>'profit by region'!$A$4:$A$7</c:f>
              <c:strCache>
                <c:ptCount val="4"/>
                <c:pt idx="0">
                  <c:v>South</c:v>
                </c:pt>
                <c:pt idx="1">
                  <c:v>West</c:v>
                </c:pt>
                <c:pt idx="2">
                  <c:v>North</c:v>
                </c:pt>
                <c:pt idx="3">
                  <c:v>East</c:v>
                </c:pt>
              </c:strCache>
            </c:strRef>
          </c:cat>
          <c:val>
            <c:numRef>
              <c:f>'profit by region'!$B$4:$B$7</c:f>
              <c:numCache>
                <c:formatCode>General</c:formatCode>
                <c:ptCount val="4"/>
                <c:pt idx="0">
                  <c:v>754481</c:v>
                </c:pt>
                <c:pt idx="1">
                  <c:v>1431557</c:v>
                </c:pt>
                <c:pt idx="2">
                  <c:v>1709241</c:v>
                </c:pt>
                <c:pt idx="3">
                  <c:v>2308309</c:v>
                </c:pt>
              </c:numCache>
            </c:numRef>
          </c:val>
          <c:extLst>
            <c:ext xmlns:c16="http://schemas.microsoft.com/office/drawing/2014/chart" uri="{C3380CC4-5D6E-409C-BE32-E72D297353CC}">
              <c16:uniqueId val="{00000000-2B47-4469-8B2E-5DCC44CFF1D2}"/>
            </c:ext>
          </c:extLst>
        </c:ser>
        <c:dLbls>
          <c:showLegendKey val="0"/>
          <c:showVal val="0"/>
          <c:showCatName val="0"/>
          <c:showSerName val="0"/>
          <c:showPercent val="0"/>
          <c:showBubbleSize val="0"/>
        </c:dLbls>
        <c:gapWidth val="150"/>
        <c:shape val="box"/>
        <c:axId val="664374208"/>
        <c:axId val="664377088"/>
        <c:axId val="0"/>
      </c:bar3DChart>
      <c:catAx>
        <c:axId val="66437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77088"/>
        <c:crosses val="autoZero"/>
        <c:auto val="1"/>
        <c:lblAlgn val="ctr"/>
        <c:lblOffset val="100"/>
        <c:noMultiLvlLbl val="0"/>
      </c:catAx>
      <c:valAx>
        <c:axId val="66437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7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[financial_analysis_dataset.xlsx]revenue vs expenses!PivotTable9</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4074074074074073"/>
          <c:w val="0.79045526971211133"/>
          <c:h val="0.6518598716827062"/>
        </c:manualLayout>
      </c:layout>
      <c:barChart>
        <c:barDir val="col"/>
        <c:grouping val="clustered"/>
        <c:varyColors val="0"/>
        <c:ser>
          <c:idx val="0"/>
          <c:order val="0"/>
          <c:tx>
            <c:strRef>
              <c:f>'revenue vs expenses'!$B$3</c:f>
              <c:strCache>
                <c:ptCount val="1"/>
                <c:pt idx="0">
                  <c:v>Sum of Revenue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'revenue vs expenses'!$A$4:$A$6</c:f>
              <c:strCache>
                <c:ptCount val="3"/>
                <c:pt idx="0">
                  <c:v>2022</c:v>
                </c:pt>
                <c:pt idx="1">
                  <c:v>2023</c:v>
                </c:pt>
                <c:pt idx="2">
                  <c:v>2024</c:v>
                </c:pt>
              </c:strCache>
            </c:strRef>
          </c:cat>
          <c:val>
            <c:numRef>
              <c:f>'revenue vs expenses'!$B$4:$B$6</c:f>
              <c:numCache>
                <c:formatCode>General</c:formatCode>
                <c:ptCount val="3"/>
                <c:pt idx="0">
                  <c:v>9535334</c:v>
                </c:pt>
                <c:pt idx="1">
                  <c:v>8801812</c:v>
                </c:pt>
                <c:pt idx="2">
                  <c:v>2947691</c:v>
                </c:pt>
              </c:numCache>
            </c:numRef>
          </c:val>
          <c:extLst>
            <c:ext xmlns:c16="http://schemas.microsoft.com/office/drawing/2014/chart" uri="{C3380CC4-5D6E-409C-BE32-E72D297353CC}">
              <c16:uniqueId val="{00000000-C016-4676-8BCA-D5B8DE2250A3}"/>
            </c:ext>
          </c:extLst>
        </c:ser>
        <c:ser>
          <c:idx val="1"/>
          <c:order val="1"/>
          <c:tx>
            <c:strRef>
              <c:f>'revenue vs expenses'!$C$3</c:f>
              <c:strCache>
                <c:ptCount val="1"/>
                <c:pt idx="0">
                  <c:v>Sum of Expenses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'revenue vs expenses'!$A$4:$A$6</c:f>
              <c:strCache>
                <c:ptCount val="3"/>
                <c:pt idx="0">
                  <c:v>2022</c:v>
                </c:pt>
                <c:pt idx="1">
                  <c:v>2023</c:v>
                </c:pt>
                <c:pt idx="2">
                  <c:v>2024</c:v>
                </c:pt>
              </c:strCache>
            </c:strRef>
          </c:cat>
          <c:val>
            <c:numRef>
              <c:f>'revenue vs expenses'!$C$4:$C$6</c:f>
              <c:numCache>
                <c:formatCode>General</c:formatCode>
                <c:ptCount val="3"/>
                <c:pt idx="0">
                  <c:v>6948272</c:v>
                </c:pt>
                <c:pt idx="1">
                  <c:v>5858741</c:v>
                </c:pt>
                <c:pt idx="2">
                  <c:v>2274236</c:v>
                </c:pt>
              </c:numCache>
            </c:numRef>
          </c:val>
          <c:extLst>
            <c:ext xmlns:c16="http://schemas.microsoft.com/office/drawing/2014/chart" uri="{C3380CC4-5D6E-409C-BE32-E72D297353CC}">
              <c16:uniqueId val="{00000001-C016-4676-8BCA-D5B8DE2250A3}"/>
            </c:ext>
          </c:extLst>
        </c:ser>
        <c:dLbls>
          <c:showLegendKey val="0"/>
          <c:showVal val="0"/>
          <c:showCatName val="0"/>
          <c:showSerName val="0"/>
          <c:showPercent val="0"/>
          <c:showBubbleSize val="0"/>
        </c:dLbls>
        <c:gapWidth val="355"/>
        <c:overlap val="-70"/>
        <c:axId val="2083788720"/>
        <c:axId val="2083790640"/>
      </c:barChart>
      <c:catAx>
        <c:axId val="20837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90640"/>
        <c:crosses val="autoZero"/>
        <c:auto val="1"/>
        <c:lblAlgn val="ctr"/>
        <c:lblOffset val="100"/>
        <c:noMultiLvlLbl val="0"/>
      </c:catAx>
      <c:valAx>
        <c:axId val="20837906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88720"/>
        <c:crosses val="autoZero"/>
        <c:crossBetween val="between"/>
      </c:valAx>
      <c:spPr>
        <a:noFill/>
        <a:ln>
          <a:noFill/>
        </a:ln>
        <a:effectLst/>
      </c:spPr>
    </c:plotArea>
    <c:legend>
      <c:legendPos val="r"/>
      <c:layout>
        <c:manualLayout>
          <c:xMode val="edge"/>
          <c:yMode val="edge"/>
          <c:x val="0.14095341207349082"/>
          <c:y val="2.3726305045202706E-2"/>
          <c:w val="0.7146021434820647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[financial_analysis_dataset.xlsx]Monthly revenue!PivotTable8</c:name>
    <c:fmtId val="23"/>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w="9525">
              <a:solidFill>
                <a:schemeClr val="accent4"/>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6">
                    <a:tint val="100000"/>
                    <a:shade val="85000"/>
                    <a:satMod val="100000"/>
                    <a:lumMod val="100000"/>
                  </a:schemeClr>
                </a:gs>
                <a:gs pos="100000">
                  <a:schemeClr val="accent6">
                    <a:tint val="90000"/>
                    <a:shade val="100000"/>
                    <a:satMod val="150000"/>
                    <a:lumMod val="100000"/>
                  </a:schemeClr>
                </a:gs>
              </a:gsLst>
              <a:path path="circle">
                <a:fillToRect l="100000" t="100000" r="100000" b="100000"/>
              </a:path>
            </a:gradFill>
            <a:ln w="9525">
              <a:solidFill>
                <a:schemeClr val="accent6"/>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76200" dist="25400" dir="5400000" algn="ctr" rotWithShape="0">
              <a:srgbClr val="000000">
                <a:alpha val="60000"/>
              </a:srgbClr>
            </a:outerShdw>
          </a:effectLst>
        </c:spPr>
        <c:marker>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8967901445756"/>
          <c:y val="0.2327828894333388"/>
          <c:w val="0.82167724249589125"/>
          <c:h val="0.66133162450973437"/>
        </c:manualLayout>
      </c:layout>
      <c:lineChart>
        <c:grouping val="standard"/>
        <c:varyColors val="0"/>
        <c:ser>
          <c:idx val="0"/>
          <c:order val="0"/>
          <c:tx>
            <c:strRef>
              <c:f>'Monthly revenue'!$B$3:$B$4</c:f>
              <c:strCache>
                <c:ptCount val="1"/>
                <c:pt idx="0">
                  <c:v>2022</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'Monthly revenue'!$A$5:$A$16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revenue'!$B$5:$B$16</c:f>
              <c:numCache>
                <c:formatCode>0</c:formatCode>
                <c:ptCount val="12"/>
                <c:pt idx="0">
                  <c:v>930100</c:v>
                </c:pt>
                <c:pt idx="1">
                  <c:v>629489</c:v>
                </c:pt>
                <c:pt idx="2">
                  <c:v>937568</c:v>
                </c:pt>
                <c:pt idx="3">
                  <c:v>542818</c:v>
                </c:pt>
                <c:pt idx="4">
                  <c:v>562898</c:v>
                </c:pt>
                <c:pt idx="5">
                  <c:v>858094</c:v>
                </c:pt>
                <c:pt idx="6">
                  <c:v>686001</c:v>
                </c:pt>
                <c:pt idx="7">
                  <c:v>1039672</c:v>
                </c:pt>
                <c:pt idx="8">
                  <c:v>683125</c:v>
                </c:pt>
                <c:pt idx="9">
                  <c:v>1222624</c:v>
                </c:pt>
                <c:pt idx="10">
                  <c:v>787310</c:v>
                </c:pt>
                <c:pt idx="11">
                  <c:v>655635</c:v>
                </c:pt>
              </c:numCache>
            </c:numRef>
          </c:val>
          <c:smooth val="0"/>
          <c:extLst>
            <c:ext xmlns:c16="http://schemas.microsoft.com/office/drawing/2014/chart" uri="{C3380CC4-5D6E-409C-BE32-E72D297353CC}">
              <c16:uniqueId val="{00000000-C4F8-4802-9F42-7AABEBBE23D6}"/>
            </c:ext>
          </c:extLst>
        </c:ser>
        <c:ser>
          <c:idx val="1"/>
          <c:order val="1"/>
          <c:tx>
            <c:strRef>
              <c:f>'Monthly revenue'!$C$3:$C$4</c:f>
              <c:strCache>
                <c:ptCount val="1"/>
                <c:pt idx="0">
                  <c:v>2023</c:v>
                </c:pt>
              </c:strCache>
            </c:strRef>
          </c:tx>
          <c:spPr>
            <a:ln w="34925" cap="rnd">
              <a:solidFill>
                <a:schemeClr val="accent4"/>
              </a:solidFill>
              <a:round/>
            </a:ln>
            <a:effectLst>
              <a:outerShdw blurRad="76200" dist="25400" dir="5400000" algn="ctr" rotWithShape="0">
                <a:srgbClr val="000000">
                  <a:alpha val="60000"/>
                </a:srgbClr>
              </a:outerShdw>
            </a:effectLst>
          </c:spPr>
          <c:marker>
            <c:symbol val="circle"/>
            <c:size val="6"/>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w="9525">
                <a:solidFill>
                  <a:schemeClr val="accent4"/>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'Monthly revenue'!$A$5:$A$16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revenue'!$C$5:$C$16</c:f>
              <c:numCache>
                <c:formatCode>0</c:formatCode>
                <c:ptCount val="12"/>
                <c:pt idx="0">
                  <c:v>698629</c:v>
                </c:pt>
                <c:pt idx="1">
                  <c:v>612101</c:v>
                </c:pt>
                <c:pt idx="2">
                  <c:v>624724</c:v>
                </c:pt>
                <c:pt idx="3">
                  <c:v>521274</c:v>
                </c:pt>
                <c:pt idx="4">
                  <c:v>512259</c:v>
                </c:pt>
                <c:pt idx="5">
                  <c:v>1149929</c:v>
                </c:pt>
                <c:pt idx="6">
                  <c:v>510790</c:v>
                </c:pt>
                <c:pt idx="7">
                  <c:v>757924</c:v>
                </c:pt>
                <c:pt idx="8">
                  <c:v>981416</c:v>
                </c:pt>
                <c:pt idx="9">
                  <c:v>922174</c:v>
                </c:pt>
                <c:pt idx="10">
                  <c:v>817473</c:v>
                </c:pt>
                <c:pt idx="11">
                  <c:v>693119</c:v>
                </c:pt>
              </c:numCache>
            </c:numRef>
          </c:val>
          <c:smooth val="0"/>
          <c:extLst>
            <c:ext xmlns:c16="http://schemas.microsoft.com/office/drawing/2014/chart" uri="{C3380CC4-5D6E-409C-BE32-E72D297353CC}">
              <c16:uniqueId val="{00000006-C4F8-4802-9F42-7AABEBBE23D6}"/>
            </c:ext>
          </c:extLst>
        </c:ser>
        <c:ser>
          <c:idx val="2"/>
          <c:order val="2"/>
          <c:tx>
            <c:strRef>
              <c:f>'Monthly revenue'!$D$3:$D$4</c:f>
              <c:strCache>
                <c:ptCount val="1"/>
                <c:pt idx="0">
                  <c:v>2024</c:v>
                </c:pt>
              </c:strCache>
            </c:strRef>
          </c:tx>
          <c:spPr>
            <a:ln w="34925" cap="rnd">
              <a:solidFill>
                <a:schemeClr val="accent6"/>
              </a:solidFill>
              <a:round/>
            </a:ln>
            <a:effectLst>
              <a:outerShdw blurRad="76200" dist="25400" dir="5400000" algn="ctr" rotWithShape="0">
                <a:srgbClr val="000000">
                  <a:alpha val="60000"/>
                </a:srgbClr>
              </a:outerShdw>
            </a:effectLst>
          </c:spPr>
          <c:marker>
            <c:symbol val="circle"/>
            <c:size val="6"/>
            <c:spPr>
              <a:gradFill rotWithShape="1">
                <a:gsLst>
                  <a:gs pos="0">
                    <a:schemeClr val="accent6">
                      <a:tint val="100000"/>
                      <a:shade val="85000"/>
                      <a:satMod val="100000"/>
                      <a:lumMod val="100000"/>
                    </a:schemeClr>
                  </a:gs>
                  <a:gs pos="100000">
                    <a:schemeClr val="accent6">
                      <a:tint val="90000"/>
                      <a:shade val="100000"/>
                      <a:satMod val="150000"/>
                      <a:lumMod val="100000"/>
                    </a:schemeClr>
                  </a:gs>
                </a:gsLst>
                <a:path path="circle">
                  <a:fillToRect l="100000" t="100000" r="100000" b="100000"/>
                </a:path>
              </a:gradFill>
              <a:ln w="9525">
                <a:solidFill>
                  <a:schemeClr val="accent6"/>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'Monthly revenue'!$A$5:$A$16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revenue'!$D$5:$D$16</c:f>
              <c:numCache>
                <c:formatCode>0</c:formatCode>
                <c:ptCount val="12"/>
                <c:pt idx="0">
                  <c:v>806098</c:v>
                </c:pt>
                <c:pt idx="1">
                  <c:v>383087</c:v>
                </c:pt>
                <c:pt idx="2">
                  <c:v>403065</c:v>
                </c:pt>
                <c:pt idx="3">
                  <c:v>246868</c:v>
                </c:pt>
                <c:pt idx="4">
                  <c:v>378822</c:v>
                </c:pt>
                <c:pt idx="5">
                  <c:v>729751</c:v>
                </c:pt>
              </c:numCache>
            </c:numRef>
          </c:val>
          <c:smooth val="0"/>
          <c:extLst>
            <c:ext xmlns:c16="http://schemas.microsoft.com/office/drawing/2014/chart" uri="{C3380CC4-5D6E-409C-BE32-E72D297353CC}">
              <c16:uniqueId val="{00000007-C4F8-4802-9F42-7AABEBBE23D6}"/>
            </c:ext>
          </c:extLst>
        </c:ser>
        <c:dLbls>
          <c:showLegendKey val="0"/>
          <c:showVal val="0"/>
          <c:showCatName val="0"/>
          <c:showSerName val="0"/>
          <c:showPercent val="0"/>
          <c:showBubbleSize val="0"/>
        </c:dLbls>
        <c:marker val="1"/>
        <c:smooth val="0"/>
        <c:axId val="2090118528"/>
        <c:axId val="2090118048"/>
      </c:lineChart>
      <c:catAx>
        <c:axId val="2090118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18048"/>
        <c:crosses val="autoZero"/>
        <c:auto val="1"/>
        <c:lblAlgn val="ctr"/>
        <c:lblOffset val="100"/>
        <c:noMultiLvlLbl val="0"/>
      </c:catAx>
      <c:valAx>
        <c:axId val="2090118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18528"/>
        <c:crosses val="autoZero"/>
        <c:crossBetween val="between"/>
      </c:valAx>
      <c:spPr>
        <a:noFill/>
        <a:ln>
          <a:noFill/>
        </a:ln>
        <a:effectLst/>
      </c:spPr>
    </c:plotArea>
    <c:legend>
      <c:legendPos val="r"/>
      <c:layout>
        <c:manualLayout>
          <c:xMode val="edge"/>
          <c:yMode val="edge"/>
          <c:x val="0.10910144437301504"/>
          <c:y val="1.0564421775768199E-3"/>
          <c:w val="0.80521246458923523"/>
          <c:h val="0.29332369122277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[financial_analysis_dataset.xlsx]profit by category!PivotTable13</c:name>
    <c:fmtId val="12"/>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9"/>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manualLayout>
          <c:layoutTarget val="inner"/>
          <c:xMode val="edge"/>
          <c:yMode val="edge"/>
          <c:x val="0.21172271993445668"/>
          <c:y val="0.18804498396033828"/>
          <c:w val="0.60932958040264384"/>
          <c:h val="0.7905766987459899"/>
        </c:manualLayout>
      </c:layout>
      <c:pieChart>
        <c:varyColors val="1"/>
        <c:ser>
          <c:idx val="0"/>
          <c:order val="0"/>
          <c:tx>
            <c:strRef>
              <c:f>'profit by category'!$B$3</c:f>
              <c:strCache>
                <c:ptCount val="1"/>
                <c:pt idx="0">
                  <c:v>Total</c:v>
                </c:pt>
              </c:strCache>
            </c:strRef>
          </c:tx>
          <c:dPt>
            <c:idx val="0"/>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AB6C-4B41-BE4B-F87A2415F059}"/>
              </c:ext>
            </c:extLst>
          </c:dPt>
          <c:dPt>
            <c:idx val="1"/>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AB6C-4B41-BE4B-F87A2415F059}"/>
              </c:ext>
            </c:extLst>
          </c:dPt>
          <c:dPt>
            <c:idx val="2"/>
            <c:bubble3D val="0"/>
            <c:spPr>
              <a:gradFill rotWithShape="1">
                <a:gsLst>
                  <a:gs pos="0">
                    <a:schemeClr val="accent6">
                      <a:tint val="100000"/>
                      <a:shade val="85000"/>
                      <a:satMod val="100000"/>
                      <a:lumMod val="100000"/>
                    </a:schemeClr>
                  </a:gs>
                  <a:gs pos="100000">
                    <a:schemeClr val="accent6">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AB6C-4B41-BE4B-F87A2415F059}"/>
              </c:ext>
            </c:extLst>
          </c:dPt>
          <c:dPt>
            <c:idx val="3"/>
            <c:bubble3D val="0"/>
            <c:spPr>
              <a:gradFill rotWithShape="1">
                <a:gsLst>
                  <a:gs pos="0">
                    <a:schemeClr val="accent2">
                      <a:lumMod val="60000"/>
                      <a:tint val="100000"/>
                      <a:shade val="85000"/>
                      <a:satMod val="100000"/>
                      <a:lumMod val="100000"/>
                    </a:schemeClr>
                  </a:gs>
                  <a:gs pos="100000">
                    <a:schemeClr val="accent2">
                      <a:lumMod val="60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7-AB6C-4B41-BE4B-F87A2415F0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category'!$A$4:$A$7</c:f>
              <c:strCache>
                <c:ptCount val="4"/>
                <c:pt idx="0">
                  <c:v>Electronics</c:v>
                </c:pt>
                <c:pt idx="1">
                  <c:v>Furniture</c:v>
                </c:pt>
                <c:pt idx="2">
                  <c:v>Office Supplies</c:v>
                </c:pt>
                <c:pt idx="3">
                  <c:v>Technology</c:v>
                </c:pt>
              </c:strCache>
            </c:strRef>
          </c:cat>
          <c:val>
            <c:numRef>
              <c:f>'profit by category'!$B$4:$B$7</c:f>
              <c:numCache>
                <c:formatCode>General</c:formatCode>
                <c:ptCount val="4"/>
                <c:pt idx="0">
                  <c:v>1221392</c:v>
                </c:pt>
                <c:pt idx="1">
                  <c:v>1468890</c:v>
                </c:pt>
                <c:pt idx="2">
                  <c:v>1918929</c:v>
                </c:pt>
                <c:pt idx="3">
                  <c:v>1594377</c:v>
                </c:pt>
              </c:numCache>
            </c:numRef>
          </c:val>
          <c:extLst>
            <c:ext xmlns:c16="http://schemas.microsoft.com/office/drawing/2014/chart" uri="{C3380CC4-5D6E-409C-BE32-E72D297353CC}">
              <c16:uniqueId val="{00000008-AB6C-4B41-BE4B-F87A2415F059}"/>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5.0445344129554662E-2"/>
          <c:y val="1.1563791993019342E-3"/>
          <c:w val="0.90726130893557333"/>
          <c:h val="0.21990959463400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[financial_analysis_dataset.xlsx]monthly profit !PivotTable14</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profit '!$B$3</c:f>
              <c:strCache>
                <c:ptCount val="1"/>
                <c:pt idx="0">
                  <c:v>Total</c:v>
                </c:pt>
              </c:strCache>
            </c:strRef>
          </c:tx>
          <c:spPr>
            <a:solidFill>
              <a:schemeClr val="accent1"/>
            </a:solidFill>
            <a:ln w="25400">
              <a:noFill/>
            </a:ln>
            <a:effectLst/>
          </c:spPr>
          <c:cat>
            <c:strRef>
              <c:f>'monthly profit '!$A$4:$A$15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profit '!$B$4:$B$15</c:f>
              <c:numCache>
                <c:formatCode>General</c:formatCode>
                <c:ptCount val="12"/>
                <c:pt idx="0">
                  <c:v>520505</c:v>
                </c:pt>
                <c:pt idx="1">
                  <c:v>277303</c:v>
                </c:pt>
                <c:pt idx="2">
                  <c:v>404895</c:v>
                </c:pt>
                <c:pt idx="3">
                  <c:v>417549</c:v>
                </c:pt>
                <c:pt idx="4">
                  <c:v>333745</c:v>
                </c:pt>
                <c:pt idx="5">
                  <c:v>720423</c:v>
                </c:pt>
                <c:pt idx="6">
                  <c:v>372125</c:v>
                </c:pt>
                <c:pt idx="7">
                  <c:v>854460</c:v>
                </c:pt>
                <c:pt idx="8">
                  <c:v>643735</c:v>
                </c:pt>
                <c:pt idx="9">
                  <c:v>773078</c:v>
                </c:pt>
                <c:pt idx="10">
                  <c:v>561707</c:v>
                </c:pt>
                <c:pt idx="11">
                  <c:v>324063</c:v>
                </c:pt>
              </c:numCache>
            </c:numRef>
          </c:val>
          <c:extLst>
            <c:ext xmlns:c16="http://schemas.microsoft.com/office/drawing/2014/chart" uri="{C3380CC4-5D6E-409C-BE32-E72D297353CC}">
              <c16:uniqueId val="{00000000-9011-4B45-99A6-092384C6A06D}"/>
            </c:ext>
          </c:extLst>
        </c:ser>
        <c:dLbls>
          <c:showLegendKey val="0"/>
          <c:showVal val="0"/>
          <c:showCatName val="0"/>
          <c:showSerName val="0"/>
          <c:showPercent val="0"/>
          <c:showBubbleSize val="0"/>
        </c:dLbls>
        <c:axId val="2086172464"/>
        <c:axId val="451339808"/>
      </c:areaChart>
      <c:catAx>
        <c:axId val="2086172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39808"/>
        <c:crosses val="autoZero"/>
        <c:auto val="1"/>
        <c:lblAlgn val="ctr"/>
        <c:lblOffset val="100"/>
        <c:noMultiLvlLbl val="0"/>
      </c:catAx>
      <c:valAx>
        <c:axId val="45133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172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3.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228600</xdr:colOff>
      <xdr:row>3</xdr:row>
      <xdr:rowOff>79375</xdr:rowOff>
    </xdr:from>
    <xdr:to>
      <xdr:col>9</xdr:col>
      <xdr:colOff>533400</xdr:colOff>
      <xdr:row>18</xdr:row>
      <xdr:rowOff>60325</xdr:rowOff>
    </xdr:to>
    <xdr:graphicFrame macro="">
      <xdr:nvGraphicFramePr>
        <xdr:cNvPr id="3" name="Chart 2">
          <a:extLst>
            <a:ext uri="{FF2B5EF4-FFF2-40B4-BE49-F238E27FC236}">
              <a16:creationId xmlns:a16="http://schemas.microsoft.com/office/drawing/2014/main" id="{BB0584F2-080A-7CA3-A000-114846CCF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2</xdr:row>
      <xdr:rowOff>73025</xdr:rowOff>
    </xdr:from>
    <xdr:to>
      <xdr:col>10</xdr:col>
      <xdr:colOff>292100</xdr:colOff>
      <xdr:row>17</xdr:row>
      <xdr:rowOff>53975</xdr:rowOff>
    </xdr:to>
    <xdr:graphicFrame macro="">
      <xdr:nvGraphicFramePr>
        <xdr:cNvPr id="2" name="Chart 1">
          <a:extLst>
            <a:ext uri="{FF2B5EF4-FFF2-40B4-BE49-F238E27FC236}">
              <a16:creationId xmlns:a16="http://schemas.microsoft.com/office/drawing/2014/main" id="{ADF75BDD-C99E-AA8E-B893-8EEE1BD8A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xdr:colOff>
      <xdr:row>2</xdr:row>
      <xdr:rowOff>31750</xdr:rowOff>
    </xdr:from>
    <xdr:to>
      <xdr:col>3</xdr:col>
      <xdr:colOff>2692400</xdr:colOff>
      <xdr:row>7</xdr:row>
      <xdr:rowOff>57150</xdr:rowOff>
    </xdr:to>
    <xdr:sp macro="" textlink="">
      <xdr:nvSpPr>
        <xdr:cNvPr id="3" name="Rectangle: Rounded Corners 2">
          <a:extLst>
            <a:ext uri="{FF2B5EF4-FFF2-40B4-BE49-F238E27FC236}">
              <a16:creationId xmlns:a16="http://schemas.microsoft.com/office/drawing/2014/main" id="{C0473F93-FFDE-4E7B-B2F2-E9A9701CD534}"/>
            </a:ext>
          </a:extLst>
        </xdr:cNvPr>
        <xdr:cNvSpPr/>
      </xdr:nvSpPr>
      <xdr:spPr>
        <a:xfrm>
          <a:off x="1327150" y="387350"/>
          <a:ext cx="4641850" cy="1771650"/>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590550</xdr:colOff>
      <xdr:row>2</xdr:row>
      <xdr:rowOff>146050</xdr:rowOff>
    </xdr:from>
    <xdr:to>
      <xdr:col>13</xdr:col>
      <xdr:colOff>31750</xdr:colOff>
      <xdr:row>7</xdr:row>
      <xdr:rowOff>25400</xdr:rowOff>
    </xdr:to>
    <xdr:sp macro="" textlink="">
      <xdr:nvSpPr>
        <xdr:cNvPr id="2" name="Rectangle: Rounded Corners 1">
          <a:extLst>
            <a:ext uri="{FF2B5EF4-FFF2-40B4-BE49-F238E27FC236}">
              <a16:creationId xmlns:a16="http://schemas.microsoft.com/office/drawing/2014/main" id="{497EF041-C471-D8F6-6A82-E9D8CC66E063}"/>
            </a:ext>
          </a:extLst>
        </xdr:cNvPr>
        <xdr:cNvSpPr/>
      </xdr:nvSpPr>
      <xdr:spPr>
        <a:xfrm>
          <a:off x="8261350" y="514350"/>
          <a:ext cx="2159000" cy="15113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0</xdr:row>
      <xdr:rowOff>31750</xdr:rowOff>
    </xdr:from>
    <xdr:to>
      <xdr:col>19</xdr:col>
      <xdr:colOff>292100</xdr:colOff>
      <xdr:row>2</xdr:row>
      <xdr:rowOff>114300</xdr:rowOff>
    </xdr:to>
    <xdr:sp macro="" textlink="">
      <xdr:nvSpPr>
        <xdr:cNvPr id="2" name="Rectangle: Rounded Corners 1">
          <a:extLst>
            <a:ext uri="{FF2B5EF4-FFF2-40B4-BE49-F238E27FC236}">
              <a16:creationId xmlns:a16="http://schemas.microsoft.com/office/drawing/2014/main" id="{283CEB8C-A3CC-C143-17A7-49753F02AD9B}"/>
            </a:ext>
          </a:extLst>
        </xdr:cNvPr>
        <xdr:cNvSpPr/>
      </xdr:nvSpPr>
      <xdr:spPr>
        <a:xfrm>
          <a:off x="95250" y="31750"/>
          <a:ext cx="12792180" cy="431451"/>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Dutch801 XBd BT" panose="02020903060505020304" pitchFamily="18" charset="0"/>
            </a:rPr>
            <a:t>Financial Performance Dashboard</a:t>
          </a:r>
        </a:p>
      </xdr:txBody>
    </xdr:sp>
    <xdr:clientData/>
  </xdr:twoCellAnchor>
  <xdr:twoCellAnchor>
    <xdr:from>
      <xdr:col>0</xdr:col>
      <xdr:colOff>47660</xdr:colOff>
      <xdr:row>6</xdr:row>
      <xdr:rowOff>69222</xdr:rowOff>
    </xdr:from>
    <xdr:to>
      <xdr:col>4</xdr:col>
      <xdr:colOff>549310</xdr:colOff>
      <xdr:row>31</xdr:row>
      <xdr:rowOff>24772</xdr:rowOff>
    </xdr:to>
    <xdr:sp macro="" textlink="">
      <xdr:nvSpPr>
        <xdr:cNvPr id="3" name="Rectangle: Rounded Corners 2">
          <a:extLst>
            <a:ext uri="{FF2B5EF4-FFF2-40B4-BE49-F238E27FC236}">
              <a16:creationId xmlns:a16="http://schemas.microsoft.com/office/drawing/2014/main" id="{91169B88-07E3-717D-AEB5-138BABBCEB32}"/>
            </a:ext>
          </a:extLst>
        </xdr:cNvPr>
        <xdr:cNvSpPr/>
      </xdr:nvSpPr>
      <xdr:spPr>
        <a:xfrm>
          <a:off x="47660" y="1115925"/>
          <a:ext cx="3153298" cy="4316814"/>
        </a:xfrm>
        <a:prstGeom prst="roundRect">
          <a:avLst>
            <a:gd name="adj" fmla="val 6404"/>
          </a:avLst>
        </a:prstGeom>
        <a:solidFill>
          <a:srgbClr val="E5F8FF"/>
        </a:solidFill>
        <a:ln>
          <a:solidFill>
            <a:schemeClr val="accent2">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2</xdr:row>
      <xdr:rowOff>139700</xdr:rowOff>
    </xdr:from>
    <xdr:to>
      <xdr:col>2</xdr:col>
      <xdr:colOff>419100</xdr:colOff>
      <xdr:row>6</xdr:row>
      <xdr:rowOff>38100</xdr:rowOff>
    </xdr:to>
    <xdr:sp macro="" textlink="">
      <xdr:nvSpPr>
        <xdr:cNvPr id="4" name="Rectangle: Rounded Corners 3">
          <a:extLst>
            <a:ext uri="{FF2B5EF4-FFF2-40B4-BE49-F238E27FC236}">
              <a16:creationId xmlns:a16="http://schemas.microsoft.com/office/drawing/2014/main" id="{697A8D97-85CD-41F6-B351-0AEED1114707}"/>
            </a:ext>
          </a:extLst>
        </xdr:cNvPr>
        <xdr:cNvSpPr/>
      </xdr:nvSpPr>
      <xdr:spPr>
        <a:xfrm>
          <a:off x="88900" y="495300"/>
          <a:ext cx="1651000" cy="6096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none" strike="noStrike">
              <a:solidFill>
                <a:schemeClr val="lt1"/>
              </a:solidFill>
              <a:effectLst/>
              <a:latin typeface="Dutch801 XBd BT" panose="02020903060505020304" pitchFamily="18" charset="0"/>
              <a:ea typeface="+mn-ea"/>
              <a:cs typeface="+mn-cs"/>
            </a:rPr>
            <a:t>Total Revenue</a:t>
          </a:r>
          <a:br>
            <a:rPr lang="en-IN" sz="1400" b="1" i="0" u="none" strike="noStrike">
              <a:solidFill>
                <a:schemeClr val="lt1"/>
              </a:solidFill>
              <a:effectLst/>
              <a:latin typeface="Dutch801 XBd BT" panose="02020903060505020304" pitchFamily="18" charset="0"/>
              <a:ea typeface="+mn-ea"/>
              <a:cs typeface="+mn-cs"/>
            </a:rPr>
          </a:br>
          <a:r>
            <a:rPr lang="en-IN" sz="1400">
              <a:effectLst/>
              <a:latin typeface="Dutch801 XBd BT" panose="02020903060505020304" pitchFamily="18" charset="0"/>
            </a:rPr>
            <a:t> </a:t>
          </a:r>
          <a:r>
            <a:rPr lang="en-IN" sz="1600" b="1" i="0" u="none" strike="noStrike">
              <a:solidFill>
                <a:schemeClr val="lt1"/>
              </a:solidFill>
              <a:effectLst/>
              <a:latin typeface="Dutch801 XBd BT" panose="02020903060505020304" pitchFamily="18" charset="0"/>
              <a:ea typeface="+mn-ea"/>
              <a:cs typeface="+mn-cs"/>
            </a:rPr>
            <a:t>₹ 2,12,84,837</a:t>
          </a:r>
          <a:r>
            <a:rPr lang="en-IN" sz="1600">
              <a:effectLst/>
            </a:rPr>
            <a:t> </a:t>
          </a:r>
          <a:r>
            <a:rPr lang="en-IN" sz="1600">
              <a:effectLst/>
              <a:latin typeface="Dutch801 XBd BT" panose="02020903060505020304" pitchFamily="18" charset="0"/>
            </a:rPr>
            <a:t> </a:t>
          </a:r>
          <a:endParaRPr lang="en-IN" sz="1400">
            <a:latin typeface="Dutch801 XBd BT" panose="02020903060505020304" pitchFamily="18" charset="0"/>
          </a:endParaRPr>
        </a:p>
      </xdr:txBody>
    </xdr:sp>
    <xdr:clientData/>
  </xdr:twoCellAnchor>
  <xdr:twoCellAnchor>
    <xdr:from>
      <xdr:col>2</xdr:col>
      <xdr:colOff>463550</xdr:colOff>
      <xdr:row>2</xdr:row>
      <xdr:rowOff>139700</xdr:rowOff>
    </xdr:from>
    <xdr:to>
      <xdr:col>5</xdr:col>
      <xdr:colOff>222250</xdr:colOff>
      <xdr:row>6</xdr:row>
      <xdr:rowOff>38100</xdr:rowOff>
    </xdr:to>
    <xdr:sp macro="" textlink="">
      <xdr:nvSpPr>
        <xdr:cNvPr id="6" name="Rectangle: Rounded Corners 5">
          <a:extLst>
            <a:ext uri="{FF2B5EF4-FFF2-40B4-BE49-F238E27FC236}">
              <a16:creationId xmlns:a16="http://schemas.microsoft.com/office/drawing/2014/main" id="{F62FD8F0-2019-4F51-9775-EEDAFD6CFA45}"/>
            </a:ext>
          </a:extLst>
        </xdr:cNvPr>
        <xdr:cNvSpPr/>
      </xdr:nvSpPr>
      <xdr:spPr>
        <a:xfrm>
          <a:off x="1784350" y="495300"/>
          <a:ext cx="1739900" cy="6096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none" strike="noStrike">
              <a:solidFill>
                <a:schemeClr val="lt1"/>
              </a:solidFill>
              <a:effectLst/>
              <a:latin typeface="Dutch801 XBd BT" panose="02020903060505020304" pitchFamily="18" charset="0"/>
              <a:ea typeface="+mn-ea"/>
              <a:cs typeface="+mn-cs"/>
            </a:rPr>
            <a:t>Total Profit </a:t>
          </a:r>
          <a:br>
            <a:rPr lang="en-IN" sz="1400" b="1" i="0" u="none" strike="noStrike">
              <a:solidFill>
                <a:schemeClr val="lt1"/>
              </a:solidFill>
              <a:effectLst/>
              <a:latin typeface="Dutch801 XBd BT" panose="02020903060505020304" pitchFamily="18" charset="0"/>
              <a:ea typeface="+mn-ea"/>
              <a:cs typeface="+mn-cs"/>
            </a:rPr>
          </a:br>
          <a:r>
            <a:rPr lang="en-IN" sz="1600">
              <a:effectLst/>
              <a:latin typeface="Dutch801 XBd BT" panose="02020903060505020304" pitchFamily="18" charset="0"/>
            </a:rPr>
            <a:t> </a:t>
          </a:r>
          <a:r>
            <a:rPr lang="en-IN" sz="1400" b="1" i="0" u="none" strike="noStrike">
              <a:solidFill>
                <a:schemeClr val="lt1"/>
              </a:solidFill>
              <a:effectLst/>
              <a:latin typeface="Dutch801 XBd BT" panose="02020903060505020304" pitchFamily="18" charset="0"/>
              <a:ea typeface="+mn-ea"/>
              <a:cs typeface="+mn-cs"/>
            </a:rPr>
            <a:t>₹ 62,03,588</a:t>
          </a:r>
          <a:r>
            <a:rPr lang="en-IN" sz="1600">
              <a:effectLst/>
              <a:latin typeface="Dutch801 XBd BT" panose="02020903060505020304" pitchFamily="18" charset="0"/>
            </a:rPr>
            <a:t> </a:t>
          </a:r>
          <a:endParaRPr lang="en-IN" sz="1600">
            <a:latin typeface="Dutch801 XBd BT" panose="02020903060505020304" pitchFamily="18" charset="0"/>
          </a:endParaRPr>
        </a:p>
      </xdr:txBody>
    </xdr:sp>
    <xdr:clientData/>
  </xdr:twoCellAnchor>
  <xdr:twoCellAnchor>
    <xdr:from>
      <xdr:col>5</xdr:col>
      <xdr:colOff>260350</xdr:colOff>
      <xdr:row>2</xdr:row>
      <xdr:rowOff>139700</xdr:rowOff>
    </xdr:from>
    <xdr:to>
      <xdr:col>7</xdr:col>
      <xdr:colOff>406400</xdr:colOff>
      <xdr:row>6</xdr:row>
      <xdr:rowOff>48846</xdr:rowOff>
    </xdr:to>
    <xdr:sp macro="" textlink="">
      <xdr:nvSpPr>
        <xdr:cNvPr id="7" name="Rectangle: Rounded Corners 6">
          <a:extLst>
            <a:ext uri="{FF2B5EF4-FFF2-40B4-BE49-F238E27FC236}">
              <a16:creationId xmlns:a16="http://schemas.microsoft.com/office/drawing/2014/main" id="{20188BDD-0C04-47E4-92B9-035D65F62B22}"/>
            </a:ext>
          </a:extLst>
        </xdr:cNvPr>
        <xdr:cNvSpPr/>
      </xdr:nvSpPr>
      <xdr:spPr>
        <a:xfrm>
          <a:off x="3574910" y="488601"/>
          <a:ext cx="1471875" cy="60694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Dutch801 XBd BT" panose="02020903060505020304" pitchFamily="18" charset="0"/>
              <a:ea typeface="+mn-ea"/>
              <a:cs typeface="+mn-cs"/>
            </a:rPr>
            <a:t>Total Expense</a:t>
          </a:r>
          <a:r>
            <a:rPr lang="en-IN" sz="1200">
              <a:effectLst/>
              <a:latin typeface="Dutch801 XBd BT" panose="02020903060505020304" pitchFamily="18" charset="0"/>
            </a:rPr>
            <a:t> </a:t>
          </a:r>
          <a:br>
            <a:rPr lang="en-IN" sz="1600">
              <a:effectLst/>
              <a:latin typeface="Dutch801 XBd BT" panose="02020903060505020304" pitchFamily="18" charset="0"/>
            </a:rPr>
          </a:br>
          <a:r>
            <a:rPr lang="en-IN" sz="1400" b="1" i="0" u="none" strike="noStrike">
              <a:solidFill>
                <a:schemeClr val="lt1"/>
              </a:solidFill>
              <a:effectLst/>
              <a:latin typeface="Dutch801 XBd BT" panose="02020903060505020304" pitchFamily="18" charset="0"/>
              <a:ea typeface="+mn-ea"/>
              <a:cs typeface="+mn-cs"/>
            </a:rPr>
            <a:t>₹ 1,50,81,249</a:t>
          </a:r>
          <a:r>
            <a:rPr lang="en-IN" sz="1600">
              <a:effectLst/>
              <a:latin typeface="Dutch801 XBd BT" panose="02020903060505020304" pitchFamily="18" charset="0"/>
            </a:rPr>
            <a:t> </a:t>
          </a:r>
          <a:endParaRPr lang="en-IN" sz="1800">
            <a:latin typeface="Dutch801 XBd BT" panose="02020903060505020304" pitchFamily="18" charset="0"/>
          </a:endParaRPr>
        </a:p>
      </xdr:txBody>
    </xdr:sp>
    <xdr:clientData/>
  </xdr:twoCellAnchor>
  <xdr:twoCellAnchor>
    <xdr:from>
      <xdr:col>7</xdr:col>
      <xdr:colOff>457200</xdr:colOff>
      <xdr:row>2</xdr:row>
      <xdr:rowOff>139700</xdr:rowOff>
    </xdr:from>
    <xdr:to>
      <xdr:col>9</xdr:col>
      <xdr:colOff>495300</xdr:colOff>
      <xdr:row>6</xdr:row>
      <xdr:rowOff>62802</xdr:rowOff>
    </xdr:to>
    <xdr:sp macro="" textlink="">
      <xdr:nvSpPr>
        <xdr:cNvPr id="8" name="Rectangle: Rounded Corners 7">
          <a:extLst>
            <a:ext uri="{FF2B5EF4-FFF2-40B4-BE49-F238E27FC236}">
              <a16:creationId xmlns:a16="http://schemas.microsoft.com/office/drawing/2014/main" id="{3827C47D-AA5E-41B4-8C48-A1D742E28617}"/>
            </a:ext>
          </a:extLst>
        </xdr:cNvPr>
        <xdr:cNvSpPr/>
      </xdr:nvSpPr>
      <xdr:spPr>
        <a:xfrm>
          <a:off x="5097585" y="488601"/>
          <a:ext cx="1363924" cy="62090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Dutch801 XBd BT" panose="02020903060505020304" pitchFamily="18" charset="0"/>
              <a:ea typeface="+mn-ea"/>
              <a:cs typeface="+mn-cs"/>
            </a:rPr>
            <a:t>Profit Margin</a:t>
          </a:r>
          <a:endParaRPr lang="en-IN" sz="1200" b="0" i="0" u="none" strike="noStrike">
            <a:solidFill>
              <a:schemeClr val="lt1"/>
            </a:solidFill>
            <a:effectLst/>
            <a:latin typeface="Dutch801 XBd BT" panose="02020903060505020304" pitchFamily="18" charset="0"/>
            <a:ea typeface="+mn-ea"/>
            <a:cs typeface="+mn-cs"/>
          </a:endParaRPr>
        </a:p>
        <a:p>
          <a:pPr algn="l"/>
          <a:r>
            <a:rPr lang="en-IN" sz="1800" b="0" i="0" u="none" strike="noStrike">
              <a:solidFill>
                <a:schemeClr val="lt1"/>
              </a:solidFill>
              <a:effectLst/>
              <a:latin typeface="Dutch801 XBd BT" panose="02020903060505020304" pitchFamily="18" charset="0"/>
              <a:ea typeface="+mn-ea"/>
              <a:cs typeface="+mn-cs"/>
            </a:rPr>
            <a:t>2</a:t>
          </a:r>
          <a:r>
            <a:rPr lang="en-IN" sz="1600" b="1" i="0" u="none" strike="noStrike">
              <a:solidFill>
                <a:schemeClr val="lt1"/>
              </a:solidFill>
              <a:effectLst/>
              <a:latin typeface="Dutch801 XBd BT" panose="02020903060505020304" pitchFamily="18" charset="0"/>
              <a:ea typeface="+mn-ea"/>
              <a:cs typeface="+mn-cs"/>
            </a:rPr>
            <a:t>9.15%</a:t>
          </a:r>
          <a:r>
            <a:rPr lang="en-IN" sz="1600">
              <a:effectLst/>
              <a:latin typeface="Dutch801 XBd BT" panose="02020903060505020304" pitchFamily="18" charset="0"/>
            </a:rPr>
            <a:t> </a:t>
          </a:r>
          <a:endParaRPr lang="en-IN" sz="1400">
            <a:latin typeface="Dutch801 XBd BT" panose="02020903060505020304" pitchFamily="18" charset="0"/>
          </a:endParaRPr>
        </a:p>
      </xdr:txBody>
    </xdr:sp>
    <xdr:clientData/>
  </xdr:twoCellAnchor>
  <xdr:twoCellAnchor editAs="oneCell">
    <xdr:from>
      <xdr:col>9</xdr:col>
      <xdr:colOff>539750</xdr:colOff>
      <xdr:row>2</xdr:row>
      <xdr:rowOff>158751</xdr:rowOff>
    </xdr:from>
    <xdr:to>
      <xdr:col>13</xdr:col>
      <xdr:colOff>349250</xdr:colOff>
      <xdr:row>6</xdr:row>
      <xdr:rowOff>57150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E64C1267-028A-4746-A651-1CF7B669DC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05959" y="507652"/>
              <a:ext cx="2461148" cy="596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393700</xdr:colOff>
      <xdr:row>2</xdr:row>
      <xdr:rowOff>152401</xdr:rowOff>
    </xdr:from>
    <xdr:to>
      <xdr:col>19</xdr:col>
      <xdr:colOff>298450</xdr:colOff>
      <xdr:row>6</xdr:row>
      <xdr:rowOff>50800</xdr:rowOff>
    </xdr:to>
    <mc:AlternateContent xmlns:mc="http://schemas.openxmlformats.org/markup-compatibility/2006">
      <mc:Choice xmlns:a14="http://schemas.microsoft.com/office/drawing/2010/main" Requires="a14">
        <xdr:graphicFrame macro="">
          <xdr:nvGraphicFramePr>
            <xdr:cNvPr id="14" name="Product_Category">
              <a:extLst>
                <a:ext uri="{FF2B5EF4-FFF2-40B4-BE49-F238E27FC236}">
                  <a16:creationId xmlns:a16="http://schemas.microsoft.com/office/drawing/2014/main" id="{00FA1BAE-5F1A-48C4-9401-53C59B2D61E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9011557" y="501302"/>
              <a:ext cx="3882223" cy="596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171450</xdr:rowOff>
    </xdr:from>
    <xdr:to>
      <xdr:col>4</xdr:col>
      <xdr:colOff>488950</xdr:colOff>
      <xdr:row>30</xdr:row>
      <xdr:rowOff>127000</xdr:rowOff>
    </xdr:to>
    <xdr:graphicFrame macro="">
      <xdr:nvGraphicFramePr>
        <xdr:cNvPr id="16" name="Chart 15">
          <a:extLst>
            <a:ext uri="{FF2B5EF4-FFF2-40B4-BE49-F238E27FC236}">
              <a16:creationId xmlns:a16="http://schemas.microsoft.com/office/drawing/2014/main" id="{844F1F1F-7E66-4427-9CFA-B35C21335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361950</xdr:colOff>
      <xdr:row>18</xdr:row>
      <xdr:rowOff>12700</xdr:rowOff>
    </xdr:from>
    <xdr:to>
      <xdr:col>19</xdr:col>
      <xdr:colOff>285750</xdr:colOff>
      <xdr:row>31</xdr:row>
      <xdr:rowOff>69850</xdr:rowOff>
    </xdr:to>
    <xdr:sp macro="" textlink="">
      <xdr:nvSpPr>
        <xdr:cNvPr id="19" name="Rectangle: Rounded Corners 18">
          <a:extLst>
            <a:ext uri="{FF2B5EF4-FFF2-40B4-BE49-F238E27FC236}">
              <a16:creationId xmlns:a16="http://schemas.microsoft.com/office/drawing/2014/main" id="{C1576336-7E1A-4801-B442-632F55E909E9}"/>
            </a:ext>
          </a:extLst>
        </xdr:cNvPr>
        <xdr:cNvSpPr/>
      </xdr:nvSpPr>
      <xdr:spPr>
        <a:xfrm>
          <a:off x="6976533" y="3187700"/>
          <a:ext cx="5876925" cy="2350206"/>
        </a:xfrm>
        <a:prstGeom prst="roundRect">
          <a:avLst>
            <a:gd name="adj" fmla="val 6404"/>
          </a:avLst>
        </a:prstGeom>
        <a:solidFill>
          <a:srgbClr val="E5F8FF"/>
        </a:solidFill>
        <a:ln w="25400" cap="flat" cmpd="sng" algn="ctr">
          <a:solidFill>
            <a:schemeClr val="accent2">
              <a:lumMod val="75000"/>
            </a:schemeClr>
          </a:solidFill>
          <a:prstDash val="solid"/>
        </a:ln>
        <a:effectLst>
          <a:outerShdw blurRad="50800" dist="38100" dir="18900000" algn="b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4</xdr:col>
      <xdr:colOff>622300</xdr:colOff>
      <xdr:row>18</xdr:row>
      <xdr:rowOff>25400</xdr:rowOff>
    </xdr:from>
    <xdr:to>
      <xdr:col>10</xdr:col>
      <xdr:colOff>298450</xdr:colOff>
      <xdr:row>31</xdr:row>
      <xdr:rowOff>38100</xdr:rowOff>
    </xdr:to>
    <xdr:sp macro="" textlink="">
      <xdr:nvSpPr>
        <xdr:cNvPr id="21" name="Rectangle: Rounded Corners 20">
          <a:extLst>
            <a:ext uri="{FF2B5EF4-FFF2-40B4-BE49-F238E27FC236}">
              <a16:creationId xmlns:a16="http://schemas.microsoft.com/office/drawing/2014/main" id="{D3D6EC30-122B-43CF-B0C1-BB9FAB0BF8CD}"/>
            </a:ext>
          </a:extLst>
        </xdr:cNvPr>
        <xdr:cNvSpPr/>
      </xdr:nvSpPr>
      <xdr:spPr>
        <a:xfrm>
          <a:off x="3263900" y="3225800"/>
          <a:ext cx="3638550" cy="2324100"/>
        </a:xfrm>
        <a:prstGeom prst="roundRect">
          <a:avLst>
            <a:gd name="adj" fmla="val 6404"/>
          </a:avLst>
        </a:prstGeom>
        <a:solidFill>
          <a:srgbClr val="E5F8FF"/>
        </a:solidFill>
        <a:ln w="25400" cap="flat" cmpd="sng" algn="ctr">
          <a:solidFill>
            <a:schemeClr val="accent2">
              <a:lumMod val="75000"/>
            </a:schemeClr>
          </a:solidFill>
          <a:prstDash val="solid"/>
        </a:ln>
        <a:effectLst>
          <a:outerShdw blurRad="50800" dist="38100" algn="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12</xdr:col>
      <xdr:colOff>450850</xdr:colOff>
      <xdr:row>6</xdr:row>
      <xdr:rowOff>95250</xdr:rowOff>
    </xdr:from>
    <xdr:to>
      <xdr:col>19</xdr:col>
      <xdr:colOff>260350</xdr:colOff>
      <xdr:row>17</xdr:row>
      <xdr:rowOff>146050</xdr:rowOff>
    </xdr:to>
    <xdr:sp macro="" textlink="">
      <xdr:nvSpPr>
        <xdr:cNvPr id="22" name="Rectangle: Rounded Corners 21">
          <a:extLst>
            <a:ext uri="{FF2B5EF4-FFF2-40B4-BE49-F238E27FC236}">
              <a16:creationId xmlns:a16="http://schemas.microsoft.com/office/drawing/2014/main" id="{790CFF69-5F47-495A-B891-726F43D25A84}"/>
            </a:ext>
          </a:extLst>
        </xdr:cNvPr>
        <xdr:cNvSpPr/>
      </xdr:nvSpPr>
      <xdr:spPr>
        <a:xfrm>
          <a:off x="8388350" y="1153583"/>
          <a:ext cx="4439708" cy="1991078"/>
        </a:xfrm>
        <a:prstGeom prst="roundRect">
          <a:avLst>
            <a:gd name="adj" fmla="val 5806"/>
          </a:avLst>
        </a:prstGeom>
        <a:solidFill>
          <a:srgbClr val="E5F8FF"/>
        </a:solidFill>
        <a:ln w="25400" cap="flat" cmpd="sng" algn="ctr">
          <a:solidFill>
            <a:schemeClr val="accent2">
              <a:lumMod val="75000"/>
            </a:schemeClr>
          </a:solidFill>
          <a:prstDash val="solid"/>
        </a:ln>
        <a:effectLst>
          <a:outerShdw blurRad="63500" sx="102000" sy="102000" algn="ctr"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4</xdr:col>
      <xdr:colOff>594388</xdr:colOff>
      <xdr:row>6</xdr:row>
      <xdr:rowOff>94622</xdr:rowOff>
    </xdr:from>
    <xdr:to>
      <xdr:col>12</xdr:col>
      <xdr:colOff>378488</xdr:colOff>
      <xdr:row>17</xdr:row>
      <xdr:rowOff>145422</xdr:rowOff>
    </xdr:to>
    <xdr:sp macro="" textlink="">
      <xdr:nvSpPr>
        <xdr:cNvPr id="24" name="Rectangle: Rounded Corners 23">
          <a:extLst>
            <a:ext uri="{FF2B5EF4-FFF2-40B4-BE49-F238E27FC236}">
              <a16:creationId xmlns:a16="http://schemas.microsoft.com/office/drawing/2014/main" id="{8B349E76-4A26-4DFF-900D-226BB2C17D28}"/>
            </a:ext>
          </a:extLst>
        </xdr:cNvPr>
        <xdr:cNvSpPr/>
      </xdr:nvSpPr>
      <xdr:spPr>
        <a:xfrm>
          <a:off x="3246036" y="1141325"/>
          <a:ext cx="5087397" cy="1969756"/>
        </a:xfrm>
        <a:prstGeom prst="roundRect">
          <a:avLst>
            <a:gd name="adj" fmla="val 6404"/>
          </a:avLst>
        </a:prstGeom>
        <a:solidFill>
          <a:srgbClr val="E5F8FF"/>
        </a:solidFill>
        <a:ln w="25400" cap="flat" cmpd="sng" algn="ctr">
          <a:solidFill>
            <a:schemeClr val="accent2">
              <a:lumMod val="75000"/>
            </a:schemeClr>
          </a:solidFill>
          <a:prstDash val="solid"/>
        </a:ln>
        <a:effectLst>
          <a:outerShdw blurRad="50800" dist="38100" algn="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12</xdr:col>
      <xdr:colOff>576791</xdr:colOff>
      <xdr:row>8</xdr:row>
      <xdr:rowOff>57150</xdr:rowOff>
    </xdr:from>
    <xdr:to>
      <xdr:col>19</xdr:col>
      <xdr:colOff>144991</xdr:colOff>
      <xdr:row>17</xdr:row>
      <xdr:rowOff>76200</xdr:rowOff>
    </xdr:to>
    <xdr:graphicFrame macro="">
      <xdr:nvGraphicFramePr>
        <xdr:cNvPr id="28" name="Chart 27">
          <a:extLst>
            <a:ext uri="{FF2B5EF4-FFF2-40B4-BE49-F238E27FC236}">
              <a16:creationId xmlns:a16="http://schemas.microsoft.com/office/drawing/2014/main" id="{99DB2A32-BA2C-4BC5-9949-761B00433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120650</xdr:colOff>
      <xdr:row>7</xdr:row>
      <xdr:rowOff>158750</xdr:rowOff>
    </xdr:from>
    <xdr:to>
      <xdr:col>12</xdr:col>
      <xdr:colOff>336550</xdr:colOff>
      <xdr:row>17</xdr:row>
      <xdr:rowOff>76201</xdr:rowOff>
    </xdr:to>
    <xdr:graphicFrame macro="">
      <xdr:nvGraphicFramePr>
        <xdr:cNvPr id="29" name="Chart 28">
          <a:extLst>
            <a:ext uri="{FF2B5EF4-FFF2-40B4-BE49-F238E27FC236}">
              <a16:creationId xmlns:a16="http://schemas.microsoft.com/office/drawing/2014/main" id="{48226A79-708C-4950-86E0-AD801DBCE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69850</xdr:colOff>
      <xdr:row>20</xdr:row>
      <xdr:rowOff>12700</xdr:rowOff>
    </xdr:from>
    <xdr:to>
      <xdr:col>10</xdr:col>
      <xdr:colOff>247650</xdr:colOff>
      <xdr:row>31</xdr:row>
      <xdr:rowOff>6350</xdr:rowOff>
    </xdr:to>
    <xdr:graphicFrame macro="">
      <xdr:nvGraphicFramePr>
        <xdr:cNvPr id="30" name="Chart 29">
          <a:extLst>
            <a:ext uri="{FF2B5EF4-FFF2-40B4-BE49-F238E27FC236}">
              <a16:creationId xmlns:a16="http://schemas.microsoft.com/office/drawing/2014/main" id="{40C23136-4FC9-472B-BE41-88DCB079D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419100</xdr:colOff>
      <xdr:row>19</xdr:row>
      <xdr:rowOff>152400</xdr:rowOff>
    </xdr:from>
    <xdr:to>
      <xdr:col>19</xdr:col>
      <xdr:colOff>209550</xdr:colOff>
      <xdr:row>31</xdr:row>
      <xdr:rowOff>31750</xdr:rowOff>
    </xdr:to>
    <xdr:graphicFrame macro="">
      <xdr:nvGraphicFramePr>
        <xdr:cNvPr id="32" name="Chart 31">
          <a:extLst>
            <a:ext uri="{FF2B5EF4-FFF2-40B4-BE49-F238E27FC236}">
              <a16:creationId xmlns:a16="http://schemas.microsoft.com/office/drawing/2014/main" id="{A195025B-007A-4DD6-A84E-03D1754DA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0</xdr:colOff>
      <xdr:row>6</xdr:row>
      <xdr:rowOff>58235</xdr:rowOff>
    </xdr:from>
    <xdr:ext cx="2374900" cy="427489"/>
    <xdr:sp macro="" textlink="">
      <xdr:nvSpPr>
        <xdr:cNvPr id="36" name="Rectangle 35">
          <a:extLst>
            <a:ext uri="{FF2B5EF4-FFF2-40B4-BE49-F238E27FC236}">
              <a16:creationId xmlns:a16="http://schemas.microsoft.com/office/drawing/2014/main" id="{1FE96575-2690-A882-EB38-F438E5D06359}"/>
            </a:ext>
          </a:extLst>
        </xdr:cNvPr>
        <xdr:cNvSpPr/>
      </xdr:nvSpPr>
      <xdr:spPr>
        <a:xfrm>
          <a:off x="0" y="1116568"/>
          <a:ext cx="2374900" cy="427489"/>
        </a:xfrm>
        <a:prstGeom prst="rect">
          <a:avLst/>
        </a:prstGeom>
        <a:noFill/>
      </xdr:spPr>
      <xdr:txBody>
        <a:bodyPr wrap="square" lIns="91440" tIns="45720" rIns="91440" bIns="45720">
          <a:spAutoFit/>
        </a:bodyPr>
        <a:lstStyle/>
        <a:p>
          <a:pPr algn="ctr"/>
          <a:endParaRPr lang="en-US" sz="2400" b="0" cap="none" spc="0" baseline="0">
            <a:ln w="0"/>
            <a:solidFill>
              <a:schemeClr val="accent5"/>
            </a:solidFill>
            <a:effectLst/>
          </a:endParaRPr>
        </a:p>
      </xdr:txBody>
    </xdr:sp>
    <xdr:clientData/>
  </xdr:oneCellAnchor>
  <xdr:oneCellAnchor>
    <xdr:from>
      <xdr:col>0</xdr:col>
      <xdr:colOff>110152</xdr:colOff>
      <xdr:row>6</xdr:row>
      <xdr:rowOff>70727</xdr:rowOff>
    </xdr:from>
    <xdr:ext cx="2522549" cy="463525"/>
    <xdr:sp macro="" textlink="">
      <xdr:nvSpPr>
        <xdr:cNvPr id="38" name="Rectangle 37">
          <a:extLst>
            <a:ext uri="{FF2B5EF4-FFF2-40B4-BE49-F238E27FC236}">
              <a16:creationId xmlns:a16="http://schemas.microsoft.com/office/drawing/2014/main" id="{02E1F79C-5FA1-89EB-8173-53131827868E}"/>
            </a:ext>
          </a:extLst>
        </xdr:cNvPr>
        <xdr:cNvSpPr/>
      </xdr:nvSpPr>
      <xdr:spPr>
        <a:xfrm>
          <a:off x="110152" y="1117430"/>
          <a:ext cx="2522549" cy="46352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accent3">
                  <a:lumMod val="75000"/>
                </a:schemeClr>
              </a:solidFill>
              <a:effectLst/>
              <a:latin typeface="Dutch801 XBd BT" panose="02020903060505020304" pitchFamily="18" charset="0"/>
            </a:rPr>
            <a:t>Profit By Region</a:t>
          </a:r>
        </a:p>
      </xdr:txBody>
    </xdr:sp>
    <xdr:clientData/>
  </xdr:oneCellAnchor>
  <xdr:oneCellAnchor>
    <xdr:from>
      <xdr:col>5</xdr:col>
      <xdr:colOff>10967</xdr:colOff>
      <xdr:row>6</xdr:row>
      <xdr:rowOff>61908</xdr:rowOff>
    </xdr:from>
    <xdr:ext cx="2647455" cy="463525"/>
    <xdr:sp macro="" textlink="">
      <xdr:nvSpPr>
        <xdr:cNvPr id="39" name="Rectangle 38">
          <a:extLst>
            <a:ext uri="{FF2B5EF4-FFF2-40B4-BE49-F238E27FC236}">
              <a16:creationId xmlns:a16="http://schemas.microsoft.com/office/drawing/2014/main" id="{585124FF-3845-863C-068B-14A3D9A400B2}"/>
            </a:ext>
          </a:extLst>
        </xdr:cNvPr>
        <xdr:cNvSpPr/>
      </xdr:nvSpPr>
      <xdr:spPr>
        <a:xfrm>
          <a:off x="3325527" y="1108611"/>
          <a:ext cx="2647455" cy="46352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accent3">
                  <a:lumMod val="75000"/>
                </a:schemeClr>
              </a:solidFill>
              <a:effectLst/>
              <a:latin typeface="Dutch801 XBd BT" panose="02020903060505020304" pitchFamily="18" charset="0"/>
            </a:rPr>
            <a:t>Monthly</a:t>
          </a:r>
          <a:r>
            <a:rPr lang="en-US" sz="2400" b="1" cap="none" spc="0" baseline="0">
              <a:ln/>
              <a:solidFill>
                <a:schemeClr val="accent3">
                  <a:lumMod val="75000"/>
                </a:schemeClr>
              </a:solidFill>
              <a:effectLst/>
              <a:latin typeface="Dutch801 XBd BT" panose="02020903060505020304" pitchFamily="18" charset="0"/>
            </a:rPr>
            <a:t> Revenue</a:t>
          </a:r>
          <a:endParaRPr lang="en-IN" sz="2400" b="1" cap="none" spc="0">
            <a:ln/>
            <a:solidFill>
              <a:schemeClr val="accent3">
                <a:lumMod val="75000"/>
              </a:schemeClr>
            </a:solidFill>
            <a:effectLst/>
            <a:latin typeface="Dutch801 XBd BT" panose="02020903060505020304" pitchFamily="18" charset="0"/>
          </a:endParaRPr>
        </a:p>
      </xdr:txBody>
    </xdr:sp>
    <xdr:clientData/>
  </xdr:oneCellAnchor>
  <xdr:oneCellAnchor>
    <xdr:from>
      <xdr:col>5</xdr:col>
      <xdr:colOff>34430</xdr:colOff>
      <xdr:row>17</xdr:row>
      <xdr:rowOff>167741</xdr:rowOff>
    </xdr:from>
    <xdr:ext cx="2759280" cy="463525"/>
    <xdr:sp macro="" textlink="">
      <xdr:nvSpPr>
        <xdr:cNvPr id="40" name="Rectangle 39">
          <a:extLst>
            <a:ext uri="{FF2B5EF4-FFF2-40B4-BE49-F238E27FC236}">
              <a16:creationId xmlns:a16="http://schemas.microsoft.com/office/drawing/2014/main" id="{7FF86610-DB85-80F1-76E3-DF2430927A80}"/>
            </a:ext>
          </a:extLst>
        </xdr:cNvPr>
        <xdr:cNvSpPr/>
      </xdr:nvSpPr>
      <xdr:spPr>
        <a:xfrm>
          <a:off x="3348990" y="3133400"/>
          <a:ext cx="2759280" cy="46352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accent3">
                  <a:lumMod val="75000"/>
                </a:schemeClr>
              </a:solidFill>
              <a:effectLst/>
              <a:latin typeface="Dutch801 XBd BT" panose="02020903060505020304" pitchFamily="18" charset="0"/>
            </a:rPr>
            <a:t>Profit By Category</a:t>
          </a:r>
          <a:endParaRPr lang="en-IN" sz="2400" b="1" cap="none" spc="0">
            <a:ln/>
            <a:solidFill>
              <a:schemeClr val="accent3">
                <a:lumMod val="75000"/>
              </a:schemeClr>
            </a:solidFill>
            <a:effectLst/>
            <a:latin typeface="Dutch801 XBd BT" panose="02020903060505020304" pitchFamily="18" charset="0"/>
          </a:endParaRPr>
        </a:p>
      </xdr:txBody>
    </xdr:sp>
    <xdr:clientData/>
  </xdr:oneCellAnchor>
  <xdr:oneCellAnchor>
    <xdr:from>
      <xdr:col>12</xdr:col>
      <xdr:colOff>539177</xdr:colOff>
      <xdr:row>6</xdr:row>
      <xdr:rowOff>61909</xdr:rowOff>
    </xdr:from>
    <xdr:ext cx="3199081" cy="463525"/>
    <xdr:sp macro="" textlink="">
      <xdr:nvSpPr>
        <xdr:cNvPr id="42" name="Rectangle 41">
          <a:extLst>
            <a:ext uri="{FF2B5EF4-FFF2-40B4-BE49-F238E27FC236}">
              <a16:creationId xmlns:a16="http://schemas.microsoft.com/office/drawing/2014/main" id="{0E8EFCB8-4C7A-FA0F-5858-0A43F0F39A2A}"/>
            </a:ext>
          </a:extLst>
        </xdr:cNvPr>
        <xdr:cNvSpPr/>
      </xdr:nvSpPr>
      <xdr:spPr>
        <a:xfrm>
          <a:off x="8494122" y="1108612"/>
          <a:ext cx="3199081" cy="46352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accent3">
                  <a:lumMod val="75000"/>
                </a:schemeClr>
              </a:solidFill>
              <a:effectLst/>
              <a:latin typeface="Dutch801 XBd BT" panose="02020903060505020304" pitchFamily="18" charset="0"/>
            </a:rPr>
            <a:t>Revenue</a:t>
          </a:r>
          <a:r>
            <a:rPr lang="en-US" sz="2400" b="1" cap="none" spc="0" baseline="0">
              <a:ln/>
              <a:solidFill>
                <a:schemeClr val="accent3">
                  <a:lumMod val="75000"/>
                </a:schemeClr>
              </a:solidFill>
              <a:effectLst/>
              <a:latin typeface="Dutch801 XBd BT" panose="02020903060505020304" pitchFamily="18" charset="0"/>
            </a:rPr>
            <a:t> Vs Expenses</a:t>
          </a:r>
          <a:endParaRPr lang="en-US" sz="2400" b="1" cap="none" spc="0">
            <a:ln/>
            <a:solidFill>
              <a:schemeClr val="accent3">
                <a:lumMod val="75000"/>
              </a:schemeClr>
            </a:solidFill>
            <a:effectLst/>
            <a:latin typeface="Dutch801 XBd BT" panose="02020903060505020304" pitchFamily="18" charset="0"/>
          </a:endParaRPr>
        </a:p>
      </xdr:txBody>
    </xdr:sp>
    <xdr:clientData/>
  </xdr:oneCellAnchor>
  <xdr:oneCellAnchor>
    <xdr:from>
      <xdr:col>10</xdr:col>
      <xdr:colOff>391183</xdr:colOff>
      <xdr:row>17</xdr:row>
      <xdr:rowOff>154851</xdr:rowOff>
    </xdr:from>
    <xdr:ext cx="2271584" cy="463525"/>
    <xdr:sp macro="" textlink="">
      <xdr:nvSpPr>
        <xdr:cNvPr id="43" name="Rectangle 42">
          <a:extLst>
            <a:ext uri="{FF2B5EF4-FFF2-40B4-BE49-F238E27FC236}">
              <a16:creationId xmlns:a16="http://schemas.microsoft.com/office/drawing/2014/main" id="{89F30F5E-4881-6E8C-B799-E47C9C4216D5}"/>
            </a:ext>
          </a:extLst>
        </xdr:cNvPr>
        <xdr:cNvSpPr/>
      </xdr:nvSpPr>
      <xdr:spPr>
        <a:xfrm>
          <a:off x="7020304" y="3120510"/>
          <a:ext cx="2271584" cy="46352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accent3">
                  <a:lumMod val="75000"/>
                </a:schemeClr>
              </a:solidFill>
              <a:effectLst/>
              <a:latin typeface="Dutch801 XBd BT" panose="02020903060505020304" pitchFamily="18" charset="0"/>
            </a:rPr>
            <a:t>Monthly Profit</a:t>
          </a:r>
          <a:endParaRPr lang="en-IN" sz="2400" b="1" cap="none" spc="0">
            <a:ln/>
            <a:solidFill>
              <a:schemeClr val="accent3">
                <a:lumMod val="75000"/>
              </a:schemeClr>
            </a:solidFill>
            <a:effectLst/>
            <a:latin typeface="Dutch801 XBd BT" panose="02020903060505020304" pitchFamily="18" charset="0"/>
          </a:endParaRPr>
        </a:p>
      </xdr:txBody>
    </xdr:sp>
    <xdr:clientData/>
  </xdr:oneCellAnchor>
  <xdr:twoCellAnchor editAs="oneCell">
    <xdr:from>
      <xdr:col>7</xdr:col>
      <xdr:colOff>348901</xdr:colOff>
      <xdr:row>0</xdr:row>
      <xdr:rowOff>1</xdr:rowOff>
    </xdr:from>
    <xdr:to>
      <xdr:col>8</xdr:col>
      <xdr:colOff>181429</xdr:colOff>
      <xdr:row>2</xdr:row>
      <xdr:rowOff>146540</xdr:rowOff>
    </xdr:to>
    <xdr:pic>
      <xdr:nvPicPr>
        <xdr:cNvPr id="47" name="Graphic 46" descr="Bank with solid fill">
          <a:extLst>
            <a:ext uri="{FF2B5EF4-FFF2-40B4-BE49-F238E27FC236}">
              <a16:creationId xmlns:a16="http://schemas.microsoft.com/office/drawing/2014/main" id="{53CB3B96-DA74-4474-585F-35D7C4F4CEC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89286" y="1"/>
          <a:ext cx="495440" cy="4954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pti Borkar" refreshedDate="46087.752799884256" createdVersion="8" refreshedVersion="8" minRefreshableVersion="3" recordCount="300" xr:uid="{7FE0F46F-2623-480A-A5D7-82B9BDF3469C}">
  <cacheSource type="worksheet">
    <worksheetSource name="financial_status"/>
  </cacheSource>
  <cacheFields count="9">
    <cacheField name="Date" numFmtId="0">
      <sharedItems count="258">
        <s v="2022-01-04"/>
        <s v="2022-01-06"/>
        <s v="2022-01-07"/>
        <s v="2022-01-09"/>
        <s v="2022-01-10"/>
        <s v="2022-01-19"/>
        <s v="2022-01-20"/>
        <s v="2022-01-21"/>
        <s v="2022-01-26"/>
        <s v="2022-01-27"/>
        <s v="2022-01-29"/>
        <s v="2022-02-01"/>
        <s v="2022-02-03"/>
        <s v="2022-02-05"/>
        <s v="2022-02-07"/>
        <s v="2022-02-13"/>
        <s v="2022-02-14"/>
        <s v="2022-02-17"/>
        <s v="2022-02-18"/>
        <s v="2022-02-22"/>
        <s v="2022-03-08"/>
        <s v="2022-03-09"/>
        <s v="2022-03-13"/>
        <s v="2022-03-15"/>
        <s v="2022-03-22"/>
        <s v="2022-03-23"/>
        <s v="2022-03-25"/>
        <s v="2022-03-26"/>
        <s v="2022-03-28"/>
        <s v="2022-03-30"/>
        <s v="2022-03-31"/>
        <s v="2022-04-01"/>
        <s v="2022-04-05"/>
        <s v="2022-04-14"/>
        <s v="2022-04-23"/>
        <s v="2022-04-26"/>
        <s v="2022-05-05"/>
        <s v="2022-05-09"/>
        <s v="2022-05-12"/>
        <s v="2022-05-13"/>
        <s v="2022-05-14"/>
        <s v="2022-05-22"/>
        <s v="2022-05-23"/>
        <s v="2022-05-31"/>
        <s v="2022-06-08"/>
        <s v="2022-06-09"/>
        <s v="2022-06-10"/>
        <s v="2022-06-17"/>
        <s v="2022-06-21"/>
        <s v="2022-06-22"/>
        <s v="2022-06-23"/>
        <s v="2022-06-24"/>
        <s v="2022-06-28"/>
        <s v="2022-06-29"/>
        <s v="2022-07-01"/>
        <s v="2022-07-09"/>
        <s v="2022-07-15"/>
        <s v="2022-07-16"/>
        <s v="2022-07-17"/>
        <s v="2022-07-21"/>
        <s v="2022-07-23"/>
        <s v="2022-07-25"/>
        <s v="2022-07-26"/>
        <s v="2022-07-29"/>
        <s v="2022-08-04"/>
        <s v="2022-08-05"/>
        <s v="2022-08-09"/>
        <s v="2022-08-11"/>
        <s v="2022-08-12"/>
        <s v="2022-08-13"/>
        <s v="2022-08-14"/>
        <s v="2022-08-20"/>
        <s v="2022-08-22"/>
        <s v="2022-08-25"/>
        <s v="2022-08-29"/>
        <s v="2022-08-30"/>
        <s v="2022-09-04"/>
        <s v="2022-09-06"/>
        <s v="2022-09-07"/>
        <s v="2022-09-13"/>
        <s v="2022-09-14"/>
        <s v="2022-09-16"/>
        <s v="2022-09-19"/>
        <s v="2022-09-26"/>
        <s v="2022-09-27"/>
        <s v="2022-10-04"/>
        <s v="2022-10-05"/>
        <s v="2022-10-07"/>
        <s v="2022-10-12"/>
        <s v="2022-10-13"/>
        <s v="2022-10-14"/>
        <s v="2022-10-19"/>
        <s v="2022-10-20"/>
        <s v="2022-10-22"/>
        <s v="2022-10-23"/>
        <s v="2022-10-30"/>
        <s v="2022-11-04"/>
        <s v="2022-11-07"/>
        <s v="2022-11-16"/>
        <s v="2022-11-17"/>
        <s v="2022-11-23"/>
        <s v="2022-11-26"/>
        <s v="2022-11-28"/>
        <s v="2022-11-29"/>
        <s v="2022-12-01"/>
        <s v="2022-12-07"/>
        <s v="2022-12-10"/>
        <s v="2022-12-12"/>
        <s v="2022-12-25"/>
        <s v="2022-12-26"/>
        <s v="2022-12-27"/>
        <s v="2022-12-28"/>
        <s v="2022-12-31"/>
        <s v="2023-01-02"/>
        <s v="2023-01-07"/>
        <s v="2023-01-09"/>
        <s v="2023-01-10"/>
        <s v="2023-01-15"/>
        <s v="2023-01-20"/>
        <s v="2023-01-23"/>
        <s v="2023-01-25"/>
        <s v="2023-01-31"/>
        <s v="2023-02-04"/>
        <s v="2023-02-06"/>
        <s v="2023-02-07"/>
        <s v="2023-02-10"/>
        <s v="2023-02-16"/>
        <s v="2023-02-18"/>
        <s v="2023-02-19"/>
        <s v="2023-02-27"/>
        <s v="2023-03-13"/>
        <s v="2023-03-14"/>
        <s v="2023-03-18"/>
        <s v="2023-03-19"/>
        <s v="2023-03-21"/>
        <s v="2023-03-22"/>
        <s v="2023-03-23"/>
        <s v="2023-03-24"/>
        <s v="2023-04-04"/>
        <s v="2023-04-11"/>
        <s v="2023-04-14"/>
        <s v="2023-04-15"/>
        <s v="2023-04-17"/>
        <s v="2023-04-29"/>
        <s v="2023-04-30"/>
        <s v="2023-05-02"/>
        <s v="2023-05-03"/>
        <s v="2023-05-06"/>
        <s v="2023-05-09"/>
        <s v="2023-05-12"/>
        <s v="2023-05-19"/>
        <s v="2023-05-23"/>
        <s v="2023-05-31"/>
        <s v="2023-06-04"/>
        <s v="2023-06-05"/>
        <s v="2023-06-06"/>
        <s v="2023-06-09"/>
        <s v="2023-06-10"/>
        <s v="2023-06-15"/>
        <s v="2023-06-16"/>
        <s v="2023-06-20"/>
        <s v="2023-06-27"/>
        <s v="2023-06-28"/>
        <s v="2023-06-29"/>
        <s v="2023-07-04"/>
        <s v="2023-07-07"/>
        <s v="2023-07-08"/>
        <s v="2023-07-11"/>
        <s v="2023-07-24"/>
        <s v="2023-07-25"/>
        <s v="2023-07-27"/>
        <s v="2023-07-28"/>
        <s v="2023-08-02"/>
        <s v="2023-08-06"/>
        <s v="2023-08-12"/>
        <s v="2023-08-15"/>
        <s v="2023-08-16"/>
        <s v="2023-08-20"/>
        <s v="2023-08-21"/>
        <s v="2023-09-01"/>
        <s v="2023-09-02"/>
        <s v="2023-09-07"/>
        <s v="2023-09-14"/>
        <s v="2023-09-16"/>
        <s v="2023-09-17"/>
        <s v="2023-09-18"/>
        <s v="2023-09-22"/>
        <s v="2023-09-23"/>
        <s v="2023-09-24"/>
        <s v="2023-09-25"/>
        <s v="2023-09-29"/>
        <s v="2023-10-02"/>
        <s v="2023-10-04"/>
        <s v="2023-10-08"/>
        <s v="2023-10-10"/>
        <s v="2023-10-11"/>
        <s v="2023-10-14"/>
        <s v="2023-10-18"/>
        <s v="2023-10-22"/>
        <s v="2023-10-29"/>
        <s v="2023-10-30"/>
        <s v="2023-11-02"/>
        <s v="2023-11-06"/>
        <s v="2023-11-16"/>
        <s v="2023-11-17"/>
        <s v="2023-11-18"/>
        <s v="2023-11-21"/>
        <s v="2023-11-25"/>
        <s v="2023-11-28"/>
        <s v="2023-11-29"/>
        <s v="2023-11-30"/>
        <s v="2023-12-02"/>
        <s v="2023-12-12"/>
        <s v="2023-12-13"/>
        <s v="2023-12-18"/>
        <s v="2023-12-25"/>
        <s v="2023-12-26"/>
        <s v="2023-12-27"/>
        <s v="2023-12-29"/>
        <s v="2023-12-30"/>
        <s v="2024-01-02"/>
        <s v="2024-01-03"/>
        <s v="2024-01-06"/>
        <s v="2024-01-15"/>
        <s v="2024-01-18"/>
        <s v="2024-01-19"/>
        <s v="2024-01-22"/>
        <s v="2024-01-25"/>
        <s v="2024-01-28"/>
        <s v="2024-01-29"/>
        <s v="2024-01-30"/>
        <s v="2024-02-02"/>
        <s v="2024-02-06"/>
        <s v="2024-02-21"/>
        <s v="2024-02-23"/>
        <s v="2024-02-28"/>
        <s v="2024-03-01"/>
        <s v="2024-03-14"/>
        <s v="2024-03-16"/>
        <s v="2024-03-25"/>
        <s v="2024-03-28"/>
        <s v="2024-03-29"/>
        <s v="2024-03-31"/>
        <s v="2024-04-03"/>
        <s v="2024-04-09"/>
        <s v="2024-04-17"/>
        <s v="2024-05-01"/>
        <s v="2024-05-05"/>
        <s v="2024-05-10"/>
        <s v="2024-05-11"/>
        <s v="2024-05-30"/>
        <s v="2024-05-31"/>
        <s v="2024-06-03"/>
        <s v="2024-06-04"/>
        <s v="2024-06-08"/>
        <s v="2024-06-12"/>
        <s v="2024-06-13"/>
        <s v="2024-06-14"/>
      </sharedItems>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2" maxValue="2024" count="3">
        <n v="2022"/>
        <n v="2023"/>
        <n v="2024"/>
      </sharedItems>
    </cacheField>
    <cacheField name="Region" numFmtId="0">
      <sharedItems count="4">
        <s v="East"/>
        <s v="West"/>
        <s v="North"/>
        <s v="South"/>
      </sharedItems>
    </cacheField>
    <cacheField name="Product_Category" numFmtId="0">
      <sharedItems count="4">
        <s v="Furniture"/>
        <s v="Technology"/>
        <s v="Office Supplies"/>
        <s v="Electronics"/>
      </sharedItems>
    </cacheField>
    <cacheField name="Revenue" numFmtId="0">
      <sharedItems containsSemiMixedTypes="0" containsString="0" containsNumber="1" containsInteger="1" minValue="20309" maxValue="119731"/>
    </cacheField>
    <cacheField name="Expenses" numFmtId="0">
      <sharedItems containsSemiMixedTypes="0" containsString="0" containsNumber="1" containsInteger="1" minValue="10318" maxValue="89987"/>
    </cacheField>
    <cacheField name="Profit" numFmtId="0">
      <sharedItems containsSemiMixedTypes="0" containsString="0" containsNumber="1" containsInteger="1" minValue="-68383" maxValue="101081"/>
    </cacheField>
    <cacheField name="Marketing_Spend" numFmtId="0">
      <sharedItems containsSemiMixedTypes="0" containsString="0" containsNumber="1" containsInteger="1" minValue="2014" maxValue="19939" count="297">
        <n v="5505"/>
        <n v="3696"/>
        <n v="7325"/>
        <n v="4315"/>
        <n v="10831"/>
        <n v="14738"/>
        <n v="12658"/>
        <n v="13296"/>
        <n v="3225"/>
        <n v="16250"/>
        <n v="7776"/>
        <n v="6031"/>
        <n v="13789"/>
        <n v="14105"/>
        <n v="10156"/>
        <n v="8554"/>
        <n v="18265"/>
        <n v="5986"/>
        <n v="6523"/>
        <n v="16152"/>
        <n v="18708"/>
        <n v="9637"/>
        <n v="3805"/>
        <n v="3921"/>
        <n v="6295"/>
        <n v="7130"/>
        <n v="6732"/>
        <n v="15086"/>
        <n v="7041"/>
        <n v="19939"/>
        <n v="5355"/>
        <n v="10839"/>
        <n v="6081"/>
        <n v="10681"/>
        <n v="5927"/>
        <n v="8336"/>
        <n v="3277"/>
        <n v="8514"/>
        <n v="14660"/>
        <n v="14635"/>
        <n v="14135"/>
        <n v="7569"/>
        <n v="13384"/>
        <n v="6123"/>
        <n v="3376"/>
        <n v="3269"/>
        <n v="8435"/>
        <n v="4686"/>
        <n v="18182"/>
        <n v="6060"/>
        <n v="14667"/>
        <n v="11566"/>
        <n v="9501"/>
        <n v="8966"/>
        <n v="2736"/>
        <n v="7295"/>
        <n v="4792"/>
        <n v="16991"/>
        <n v="8050"/>
        <n v="10173"/>
        <n v="5967"/>
        <n v="16712"/>
        <n v="19299"/>
        <n v="4825"/>
        <n v="18639"/>
        <n v="2460"/>
        <n v="15089"/>
        <n v="9704"/>
        <n v="19213"/>
        <n v="3229"/>
        <n v="14149"/>
        <n v="11568"/>
        <n v="8701"/>
        <n v="11976"/>
        <n v="11890"/>
        <n v="19231"/>
        <n v="3415"/>
        <n v="11207"/>
        <n v="15944"/>
        <n v="16670"/>
        <n v="16816"/>
        <n v="2841"/>
        <n v="14024"/>
        <n v="7743"/>
        <n v="10086"/>
        <n v="17751"/>
        <n v="13571"/>
        <n v="17705"/>
        <n v="14061"/>
        <n v="9592"/>
        <n v="10635"/>
        <n v="16697"/>
        <n v="10516"/>
        <n v="7816"/>
        <n v="10032"/>
        <n v="18470"/>
        <n v="19420"/>
        <n v="8730"/>
        <n v="8517"/>
        <n v="18281"/>
        <n v="3996"/>
        <n v="16803"/>
        <n v="6112"/>
        <n v="8257"/>
        <n v="13505"/>
        <n v="12570"/>
        <n v="2885"/>
        <n v="13468"/>
        <n v="6313"/>
        <n v="10651"/>
        <n v="6731"/>
        <n v="18880"/>
        <n v="3228"/>
        <n v="2860"/>
        <n v="5561"/>
        <n v="9496"/>
        <n v="14144"/>
        <n v="8508"/>
        <n v="11193"/>
        <n v="9809"/>
        <n v="8959"/>
        <n v="2958"/>
        <n v="6201"/>
        <n v="4553"/>
        <n v="18026"/>
        <n v="15214"/>
        <n v="9763"/>
        <n v="2889"/>
        <n v="18790"/>
        <n v="9311"/>
        <n v="9775"/>
        <n v="13446"/>
        <n v="15246"/>
        <n v="2112"/>
        <n v="19736"/>
        <n v="3437"/>
        <n v="19255"/>
        <n v="11157"/>
        <n v="10016"/>
        <n v="8891"/>
        <n v="5978"/>
        <n v="4096"/>
        <n v="10724"/>
        <n v="9768"/>
        <n v="7695"/>
        <n v="9601"/>
        <n v="9955"/>
        <n v="19663"/>
        <n v="9729"/>
        <n v="2118"/>
        <n v="17051"/>
        <n v="16882"/>
        <n v="13195"/>
        <n v="2213"/>
        <n v="12762"/>
        <n v="2830"/>
        <n v="5786"/>
        <n v="15583"/>
        <n v="8883"/>
        <n v="10278"/>
        <n v="16079"/>
        <n v="12481"/>
        <n v="17981"/>
        <n v="18732"/>
        <n v="3514"/>
        <n v="9183"/>
        <n v="16288"/>
        <n v="8908"/>
        <n v="7671"/>
        <n v="8397"/>
        <n v="12531"/>
        <n v="16235"/>
        <n v="5773"/>
        <n v="11777"/>
        <n v="8214"/>
        <n v="15188"/>
        <n v="15622"/>
        <n v="7699"/>
        <n v="15171"/>
        <n v="19062"/>
        <n v="5073"/>
        <n v="14078"/>
        <n v="14228"/>
        <n v="2129"/>
        <n v="6536"/>
        <n v="4151"/>
        <n v="13801"/>
        <n v="17397"/>
        <n v="13514"/>
        <n v="10524"/>
        <n v="2072"/>
        <n v="17870"/>
        <n v="5286"/>
        <n v="15834"/>
        <n v="14399"/>
        <n v="2645"/>
        <n v="3851"/>
        <n v="14627"/>
        <n v="16481"/>
        <n v="4242"/>
        <n v="11396"/>
        <n v="15842"/>
        <n v="19610"/>
        <n v="15934"/>
        <n v="5617"/>
        <n v="7394"/>
        <n v="7257"/>
        <n v="9573"/>
        <n v="3136"/>
        <n v="19223"/>
        <n v="5825"/>
        <n v="2100"/>
        <n v="8733"/>
        <n v="16343"/>
        <n v="11877"/>
        <n v="13901"/>
        <n v="14819"/>
        <n v="10785"/>
        <n v="17019"/>
        <n v="11453"/>
        <n v="11080"/>
        <n v="10687"/>
        <n v="18844"/>
        <n v="7244"/>
        <n v="10098"/>
        <n v="15749"/>
        <n v="17179"/>
        <n v="18534"/>
        <n v="8193"/>
        <n v="3979"/>
        <n v="17426"/>
        <n v="7592"/>
        <n v="15234"/>
        <n v="11879"/>
        <n v="4682"/>
        <n v="15679"/>
        <n v="16491"/>
        <n v="10198"/>
        <n v="16147"/>
        <n v="12375"/>
        <n v="10517"/>
        <n v="16858"/>
        <n v="14771"/>
        <n v="18756"/>
        <n v="19430"/>
        <n v="5648"/>
        <n v="12378"/>
        <n v="15055"/>
        <n v="11270"/>
        <n v="17938"/>
        <n v="19084"/>
        <n v="2901"/>
        <n v="6529"/>
        <n v="10326"/>
        <n v="17991"/>
        <n v="7903"/>
        <n v="11233"/>
        <n v="14030"/>
        <n v="2346"/>
        <n v="11893"/>
        <n v="3702"/>
        <n v="6926"/>
        <n v="7836"/>
        <n v="2014"/>
        <n v="5899"/>
        <n v="17126"/>
        <n v="14205"/>
        <n v="14103"/>
        <n v="6860"/>
        <n v="7044"/>
        <n v="16463"/>
        <n v="18065"/>
        <n v="7810"/>
        <n v="7729"/>
        <n v="18052"/>
        <n v="9855"/>
        <n v="7860"/>
        <n v="11249"/>
        <n v="4121"/>
        <n v="6627"/>
        <n v="13430"/>
        <n v="16651"/>
        <n v="3799"/>
        <n v="15022"/>
        <n v="11272"/>
        <n v="10875"/>
        <n v="6828"/>
        <n v="17335"/>
        <n v="9050"/>
        <n v="5144"/>
        <n v="18099"/>
        <n v="15852"/>
        <n v="4399"/>
        <n v="12714"/>
        <n v="6930"/>
        <n v="8889"/>
        <n v="9151"/>
      </sharedItems>
    </cacheField>
  </cacheFields>
  <extLst>
    <ext xmlns:x14="http://schemas.microsoft.com/office/spreadsheetml/2009/9/main" uri="{725AE2AE-9491-48be-B2B4-4EB974FC3084}">
      <x14:pivotCacheDefinition pivotCacheId="2122719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n v="53621"/>
    <n v="50468"/>
    <n v="3153"/>
    <x v="0"/>
  </r>
  <r>
    <x v="1"/>
    <x v="0"/>
    <x v="0"/>
    <x v="1"/>
    <x v="0"/>
    <n v="36471"/>
    <n v="20716"/>
    <n v="15755"/>
    <x v="1"/>
  </r>
  <r>
    <x v="2"/>
    <x v="0"/>
    <x v="0"/>
    <x v="1"/>
    <x v="1"/>
    <n v="44380"/>
    <n v="12965"/>
    <n v="31415"/>
    <x v="2"/>
  </r>
  <r>
    <x v="3"/>
    <x v="0"/>
    <x v="0"/>
    <x v="2"/>
    <x v="2"/>
    <n v="76076"/>
    <n v="52208"/>
    <n v="23868"/>
    <x v="3"/>
  </r>
  <r>
    <x v="3"/>
    <x v="0"/>
    <x v="0"/>
    <x v="2"/>
    <x v="3"/>
    <n v="94078"/>
    <n v="44719"/>
    <n v="49359"/>
    <x v="4"/>
  </r>
  <r>
    <x v="4"/>
    <x v="0"/>
    <x v="0"/>
    <x v="0"/>
    <x v="2"/>
    <n v="87500"/>
    <n v="63512"/>
    <n v="23988"/>
    <x v="5"/>
  </r>
  <r>
    <x v="5"/>
    <x v="0"/>
    <x v="0"/>
    <x v="0"/>
    <x v="1"/>
    <n v="106681"/>
    <n v="37440"/>
    <n v="69241"/>
    <x v="6"/>
  </r>
  <r>
    <x v="6"/>
    <x v="0"/>
    <x v="0"/>
    <x v="0"/>
    <x v="2"/>
    <n v="34797"/>
    <n v="88431"/>
    <n v="-53634"/>
    <x v="7"/>
  </r>
  <r>
    <x v="6"/>
    <x v="0"/>
    <x v="0"/>
    <x v="0"/>
    <x v="1"/>
    <n v="71243"/>
    <n v="84193"/>
    <n v="-12950"/>
    <x v="8"/>
  </r>
  <r>
    <x v="7"/>
    <x v="0"/>
    <x v="0"/>
    <x v="1"/>
    <x v="1"/>
    <n v="107869"/>
    <n v="59719"/>
    <n v="48150"/>
    <x v="9"/>
  </r>
  <r>
    <x v="8"/>
    <x v="0"/>
    <x v="0"/>
    <x v="3"/>
    <x v="1"/>
    <n v="113543"/>
    <n v="22701"/>
    <n v="90842"/>
    <x v="10"/>
  </r>
  <r>
    <x v="9"/>
    <x v="0"/>
    <x v="0"/>
    <x v="0"/>
    <x v="0"/>
    <n v="36363"/>
    <n v="44251"/>
    <n v="-7888"/>
    <x v="11"/>
  </r>
  <r>
    <x v="9"/>
    <x v="0"/>
    <x v="0"/>
    <x v="2"/>
    <x v="1"/>
    <n v="39308"/>
    <n v="72836"/>
    <n v="-33528"/>
    <x v="12"/>
  </r>
  <r>
    <x v="10"/>
    <x v="0"/>
    <x v="0"/>
    <x v="2"/>
    <x v="2"/>
    <n v="28170"/>
    <n v="79689"/>
    <n v="-51519"/>
    <x v="13"/>
  </r>
  <r>
    <x v="11"/>
    <x v="1"/>
    <x v="0"/>
    <x v="0"/>
    <x v="0"/>
    <n v="47286"/>
    <n v="80088"/>
    <n v="-32802"/>
    <x v="14"/>
  </r>
  <r>
    <x v="12"/>
    <x v="1"/>
    <x v="0"/>
    <x v="2"/>
    <x v="0"/>
    <n v="80108"/>
    <n v="32800"/>
    <n v="47308"/>
    <x v="15"/>
  </r>
  <r>
    <x v="13"/>
    <x v="1"/>
    <x v="0"/>
    <x v="2"/>
    <x v="1"/>
    <n v="92938"/>
    <n v="81572"/>
    <n v="11366"/>
    <x v="16"/>
  </r>
  <r>
    <x v="14"/>
    <x v="1"/>
    <x v="0"/>
    <x v="2"/>
    <x v="0"/>
    <n v="75600"/>
    <n v="70498"/>
    <n v="5102"/>
    <x v="17"/>
  </r>
  <r>
    <x v="15"/>
    <x v="1"/>
    <x v="0"/>
    <x v="0"/>
    <x v="0"/>
    <n v="41895"/>
    <n v="67032"/>
    <n v="-25137"/>
    <x v="18"/>
  </r>
  <r>
    <x v="16"/>
    <x v="1"/>
    <x v="0"/>
    <x v="1"/>
    <x v="2"/>
    <n v="53199"/>
    <n v="51650"/>
    <n v="1549"/>
    <x v="19"/>
  </r>
  <r>
    <x v="16"/>
    <x v="1"/>
    <x v="0"/>
    <x v="1"/>
    <x v="2"/>
    <n v="51376"/>
    <n v="10560"/>
    <n v="40816"/>
    <x v="20"/>
  </r>
  <r>
    <x v="17"/>
    <x v="1"/>
    <x v="0"/>
    <x v="3"/>
    <x v="1"/>
    <n v="27725"/>
    <n v="33945"/>
    <n v="-6220"/>
    <x v="21"/>
  </r>
  <r>
    <x v="18"/>
    <x v="1"/>
    <x v="0"/>
    <x v="3"/>
    <x v="3"/>
    <n v="49558"/>
    <n v="84307"/>
    <n v="-34749"/>
    <x v="22"/>
  </r>
  <r>
    <x v="19"/>
    <x v="1"/>
    <x v="0"/>
    <x v="0"/>
    <x v="2"/>
    <n v="109804"/>
    <n v="49657"/>
    <n v="60147"/>
    <x v="23"/>
  </r>
  <r>
    <x v="20"/>
    <x v="2"/>
    <x v="0"/>
    <x v="1"/>
    <x v="2"/>
    <n v="118641"/>
    <n v="77084"/>
    <n v="41557"/>
    <x v="24"/>
  </r>
  <r>
    <x v="21"/>
    <x v="2"/>
    <x v="0"/>
    <x v="1"/>
    <x v="2"/>
    <n v="101145"/>
    <n v="74490"/>
    <n v="26655"/>
    <x v="25"/>
  </r>
  <r>
    <x v="22"/>
    <x v="2"/>
    <x v="0"/>
    <x v="2"/>
    <x v="1"/>
    <n v="77606"/>
    <n v="20919"/>
    <n v="56687"/>
    <x v="26"/>
  </r>
  <r>
    <x v="23"/>
    <x v="2"/>
    <x v="0"/>
    <x v="1"/>
    <x v="2"/>
    <n v="68771"/>
    <n v="32375"/>
    <n v="36396"/>
    <x v="27"/>
  </r>
  <r>
    <x v="23"/>
    <x v="2"/>
    <x v="0"/>
    <x v="2"/>
    <x v="1"/>
    <n v="27184"/>
    <n v="41520"/>
    <n v="-14336"/>
    <x v="28"/>
  </r>
  <r>
    <x v="24"/>
    <x v="2"/>
    <x v="0"/>
    <x v="1"/>
    <x v="0"/>
    <n v="96129"/>
    <n v="54978"/>
    <n v="41151"/>
    <x v="29"/>
  </r>
  <r>
    <x v="25"/>
    <x v="2"/>
    <x v="0"/>
    <x v="2"/>
    <x v="3"/>
    <n v="56337"/>
    <n v="10318"/>
    <n v="46019"/>
    <x v="30"/>
  </r>
  <r>
    <x v="26"/>
    <x v="2"/>
    <x v="0"/>
    <x v="0"/>
    <x v="0"/>
    <n v="27560"/>
    <n v="45345"/>
    <n v="-17785"/>
    <x v="31"/>
  </r>
  <r>
    <x v="27"/>
    <x v="2"/>
    <x v="0"/>
    <x v="3"/>
    <x v="3"/>
    <n v="57453"/>
    <n v="34018"/>
    <n v="23435"/>
    <x v="32"/>
  </r>
  <r>
    <x v="27"/>
    <x v="2"/>
    <x v="0"/>
    <x v="2"/>
    <x v="1"/>
    <n v="51467"/>
    <n v="80274"/>
    <n v="-28807"/>
    <x v="33"/>
  </r>
  <r>
    <x v="27"/>
    <x v="2"/>
    <x v="0"/>
    <x v="0"/>
    <x v="1"/>
    <n v="53818"/>
    <n v="41591"/>
    <n v="12227"/>
    <x v="34"/>
  </r>
  <r>
    <x v="28"/>
    <x v="2"/>
    <x v="0"/>
    <x v="3"/>
    <x v="1"/>
    <n v="96651"/>
    <n v="47495"/>
    <n v="49156"/>
    <x v="35"/>
  </r>
  <r>
    <x v="29"/>
    <x v="2"/>
    <x v="0"/>
    <x v="3"/>
    <x v="2"/>
    <n v="21367"/>
    <n v="89750"/>
    <n v="-68383"/>
    <x v="36"/>
  </r>
  <r>
    <x v="30"/>
    <x v="2"/>
    <x v="0"/>
    <x v="2"/>
    <x v="3"/>
    <n v="83439"/>
    <n v="16908"/>
    <n v="66531"/>
    <x v="37"/>
  </r>
  <r>
    <x v="31"/>
    <x v="3"/>
    <x v="0"/>
    <x v="3"/>
    <x v="1"/>
    <n v="42966"/>
    <n v="86083"/>
    <n v="-43117"/>
    <x v="38"/>
  </r>
  <r>
    <x v="31"/>
    <x v="3"/>
    <x v="0"/>
    <x v="2"/>
    <x v="1"/>
    <n v="103651"/>
    <n v="79270"/>
    <n v="24381"/>
    <x v="39"/>
  </r>
  <r>
    <x v="32"/>
    <x v="3"/>
    <x v="0"/>
    <x v="2"/>
    <x v="2"/>
    <n v="38291"/>
    <n v="45217"/>
    <n v="-6926"/>
    <x v="40"/>
  </r>
  <r>
    <x v="33"/>
    <x v="3"/>
    <x v="0"/>
    <x v="3"/>
    <x v="2"/>
    <n v="118168"/>
    <n v="81718"/>
    <n v="36450"/>
    <x v="41"/>
  </r>
  <r>
    <x v="33"/>
    <x v="3"/>
    <x v="0"/>
    <x v="2"/>
    <x v="2"/>
    <n v="70892"/>
    <n v="28934"/>
    <n v="41958"/>
    <x v="42"/>
  </r>
  <r>
    <x v="34"/>
    <x v="3"/>
    <x v="0"/>
    <x v="1"/>
    <x v="2"/>
    <n v="94202"/>
    <n v="76810"/>
    <n v="17392"/>
    <x v="43"/>
  </r>
  <r>
    <x v="35"/>
    <x v="3"/>
    <x v="0"/>
    <x v="0"/>
    <x v="3"/>
    <n v="74648"/>
    <n v="49653"/>
    <n v="24995"/>
    <x v="44"/>
  </r>
  <r>
    <x v="36"/>
    <x v="4"/>
    <x v="0"/>
    <x v="3"/>
    <x v="0"/>
    <n v="39178"/>
    <n v="81825"/>
    <n v="-42647"/>
    <x v="45"/>
  </r>
  <r>
    <x v="37"/>
    <x v="4"/>
    <x v="0"/>
    <x v="2"/>
    <x v="0"/>
    <n v="87298"/>
    <n v="19400"/>
    <n v="67898"/>
    <x v="46"/>
  </r>
  <r>
    <x v="37"/>
    <x v="4"/>
    <x v="0"/>
    <x v="0"/>
    <x v="2"/>
    <n v="32542"/>
    <n v="59765"/>
    <n v="-27223"/>
    <x v="47"/>
  </r>
  <r>
    <x v="38"/>
    <x v="4"/>
    <x v="0"/>
    <x v="2"/>
    <x v="3"/>
    <n v="46225"/>
    <n v="15492"/>
    <n v="30733"/>
    <x v="48"/>
  </r>
  <r>
    <x v="39"/>
    <x v="4"/>
    <x v="0"/>
    <x v="0"/>
    <x v="1"/>
    <n v="77771"/>
    <n v="10585"/>
    <n v="67186"/>
    <x v="49"/>
  </r>
  <r>
    <x v="39"/>
    <x v="4"/>
    <x v="0"/>
    <x v="1"/>
    <x v="2"/>
    <n v="34895"/>
    <n v="38806"/>
    <n v="-3911"/>
    <x v="50"/>
  </r>
  <r>
    <x v="40"/>
    <x v="4"/>
    <x v="0"/>
    <x v="0"/>
    <x v="3"/>
    <n v="29854"/>
    <n v="54027"/>
    <n v="-24173"/>
    <x v="51"/>
  </r>
  <r>
    <x v="41"/>
    <x v="4"/>
    <x v="0"/>
    <x v="3"/>
    <x v="2"/>
    <n v="96313"/>
    <n v="89798"/>
    <n v="6515"/>
    <x v="52"/>
  </r>
  <r>
    <x v="42"/>
    <x v="4"/>
    <x v="0"/>
    <x v="2"/>
    <x v="3"/>
    <n v="32642"/>
    <n v="45383"/>
    <n v="-12741"/>
    <x v="53"/>
  </r>
  <r>
    <x v="43"/>
    <x v="4"/>
    <x v="0"/>
    <x v="1"/>
    <x v="3"/>
    <n v="86180"/>
    <n v="10360"/>
    <n v="75820"/>
    <x v="54"/>
  </r>
  <r>
    <x v="44"/>
    <x v="5"/>
    <x v="0"/>
    <x v="0"/>
    <x v="1"/>
    <n v="94354"/>
    <n v="27520"/>
    <n v="66834"/>
    <x v="55"/>
  </r>
  <r>
    <x v="45"/>
    <x v="5"/>
    <x v="0"/>
    <x v="3"/>
    <x v="1"/>
    <n v="23122"/>
    <n v="35924"/>
    <n v="-12802"/>
    <x v="56"/>
  </r>
  <r>
    <x v="46"/>
    <x v="5"/>
    <x v="0"/>
    <x v="0"/>
    <x v="2"/>
    <n v="43125"/>
    <n v="60005"/>
    <n v="-16880"/>
    <x v="57"/>
  </r>
  <r>
    <x v="47"/>
    <x v="5"/>
    <x v="0"/>
    <x v="1"/>
    <x v="1"/>
    <n v="48274"/>
    <n v="86005"/>
    <n v="-37731"/>
    <x v="58"/>
  </r>
  <r>
    <x v="47"/>
    <x v="5"/>
    <x v="0"/>
    <x v="0"/>
    <x v="3"/>
    <n v="95525"/>
    <n v="88729"/>
    <n v="6796"/>
    <x v="59"/>
  </r>
  <r>
    <x v="48"/>
    <x v="5"/>
    <x v="0"/>
    <x v="1"/>
    <x v="0"/>
    <n v="78606"/>
    <n v="29898"/>
    <n v="48708"/>
    <x v="60"/>
  </r>
  <r>
    <x v="49"/>
    <x v="5"/>
    <x v="0"/>
    <x v="1"/>
    <x v="2"/>
    <n v="118008"/>
    <n v="64499"/>
    <n v="53509"/>
    <x v="61"/>
  </r>
  <r>
    <x v="50"/>
    <x v="5"/>
    <x v="0"/>
    <x v="2"/>
    <x v="2"/>
    <n v="82518"/>
    <n v="76412"/>
    <n v="6106"/>
    <x v="62"/>
  </r>
  <r>
    <x v="51"/>
    <x v="5"/>
    <x v="0"/>
    <x v="1"/>
    <x v="1"/>
    <n v="59724"/>
    <n v="47799"/>
    <n v="11925"/>
    <x v="63"/>
  </r>
  <r>
    <x v="52"/>
    <x v="5"/>
    <x v="0"/>
    <x v="2"/>
    <x v="0"/>
    <n v="102593"/>
    <n v="81466"/>
    <n v="21127"/>
    <x v="64"/>
  </r>
  <r>
    <x v="53"/>
    <x v="5"/>
    <x v="0"/>
    <x v="1"/>
    <x v="1"/>
    <n v="48867"/>
    <n v="67466"/>
    <n v="-18599"/>
    <x v="65"/>
  </r>
  <r>
    <x v="53"/>
    <x v="5"/>
    <x v="0"/>
    <x v="0"/>
    <x v="0"/>
    <n v="63378"/>
    <n v="78884"/>
    <n v="-15506"/>
    <x v="66"/>
  </r>
  <r>
    <x v="54"/>
    <x v="6"/>
    <x v="0"/>
    <x v="0"/>
    <x v="0"/>
    <n v="106928"/>
    <n v="21166"/>
    <n v="85762"/>
    <x v="67"/>
  </r>
  <r>
    <x v="55"/>
    <x v="6"/>
    <x v="0"/>
    <x v="1"/>
    <x v="2"/>
    <n v="63066"/>
    <n v="50603"/>
    <n v="12463"/>
    <x v="68"/>
  </r>
  <r>
    <x v="56"/>
    <x v="6"/>
    <x v="0"/>
    <x v="0"/>
    <x v="3"/>
    <n v="44425"/>
    <n v="15666"/>
    <n v="28759"/>
    <x v="69"/>
  </r>
  <r>
    <x v="57"/>
    <x v="6"/>
    <x v="0"/>
    <x v="1"/>
    <x v="0"/>
    <n v="93009"/>
    <n v="40235"/>
    <n v="52774"/>
    <x v="70"/>
  </r>
  <r>
    <x v="57"/>
    <x v="6"/>
    <x v="0"/>
    <x v="3"/>
    <x v="1"/>
    <n v="59281"/>
    <n v="21446"/>
    <n v="37835"/>
    <x v="71"/>
  </r>
  <r>
    <x v="58"/>
    <x v="6"/>
    <x v="0"/>
    <x v="1"/>
    <x v="0"/>
    <n v="44749"/>
    <n v="11500"/>
    <n v="33249"/>
    <x v="72"/>
  </r>
  <r>
    <x v="59"/>
    <x v="6"/>
    <x v="0"/>
    <x v="3"/>
    <x v="1"/>
    <n v="54330"/>
    <n v="49470"/>
    <n v="4860"/>
    <x v="73"/>
  </r>
  <r>
    <x v="60"/>
    <x v="6"/>
    <x v="0"/>
    <x v="2"/>
    <x v="1"/>
    <n v="21157"/>
    <n v="31279"/>
    <n v="-10122"/>
    <x v="74"/>
  </r>
  <r>
    <x v="61"/>
    <x v="6"/>
    <x v="0"/>
    <x v="3"/>
    <x v="2"/>
    <n v="69227"/>
    <n v="34851"/>
    <n v="34376"/>
    <x v="75"/>
  </r>
  <r>
    <x v="62"/>
    <x v="6"/>
    <x v="0"/>
    <x v="3"/>
    <x v="0"/>
    <n v="103576"/>
    <n v="19333"/>
    <n v="84243"/>
    <x v="76"/>
  </r>
  <r>
    <x v="63"/>
    <x v="6"/>
    <x v="0"/>
    <x v="2"/>
    <x v="1"/>
    <n v="26253"/>
    <n v="67971"/>
    <n v="-41718"/>
    <x v="77"/>
  </r>
  <r>
    <x v="64"/>
    <x v="7"/>
    <x v="0"/>
    <x v="1"/>
    <x v="0"/>
    <n v="86989"/>
    <n v="76869"/>
    <n v="10120"/>
    <x v="78"/>
  </r>
  <r>
    <x v="65"/>
    <x v="7"/>
    <x v="0"/>
    <x v="1"/>
    <x v="1"/>
    <n v="81051"/>
    <n v="36347"/>
    <n v="44704"/>
    <x v="79"/>
  </r>
  <r>
    <x v="66"/>
    <x v="7"/>
    <x v="0"/>
    <x v="0"/>
    <x v="3"/>
    <n v="91227"/>
    <n v="83672"/>
    <n v="7555"/>
    <x v="80"/>
  </r>
  <r>
    <x v="67"/>
    <x v="7"/>
    <x v="0"/>
    <x v="0"/>
    <x v="2"/>
    <n v="87401"/>
    <n v="55228"/>
    <n v="32173"/>
    <x v="81"/>
  </r>
  <r>
    <x v="67"/>
    <x v="7"/>
    <x v="0"/>
    <x v="3"/>
    <x v="3"/>
    <n v="31442"/>
    <n v="34065"/>
    <n v="-2623"/>
    <x v="82"/>
  </r>
  <r>
    <x v="67"/>
    <x v="7"/>
    <x v="0"/>
    <x v="1"/>
    <x v="0"/>
    <n v="101047"/>
    <n v="48001"/>
    <n v="53046"/>
    <x v="83"/>
  </r>
  <r>
    <x v="68"/>
    <x v="7"/>
    <x v="0"/>
    <x v="1"/>
    <x v="2"/>
    <n v="41779"/>
    <n v="12664"/>
    <n v="29115"/>
    <x v="84"/>
  </r>
  <r>
    <x v="69"/>
    <x v="7"/>
    <x v="0"/>
    <x v="0"/>
    <x v="1"/>
    <n v="50215"/>
    <n v="22813"/>
    <n v="27402"/>
    <x v="85"/>
  </r>
  <r>
    <x v="70"/>
    <x v="7"/>
    <x v="0"/>
    <x v="2"/>
    <x v="1"/>
    <n v="105493"/>
    <n v="74761"/>
    <n v="30732"/>
    <x v="86"/>
  </r>
  <r>
    <x v="71"/>
    <x v="7"/>
    <x v="0"/>
    <x v="3"/>
    <x v="2"/>
    <n v="58204"/>
    <n v="65320"/>
    <n v="-7116"/>
    <x v="87"/>
  </r>
  <r>
    <x v="72"/>
    <x v="7"/>
    <x v="0"/>
    <x v="1"/>
    <x v="1"/>
    <n v="23437"/>
    <n v="40344"/>
    <n v="-16907"/>
    <x v="88"/>
  </r>
  <r>
    <x v="73"/>
    <x v="7"/>
    <x v="0"/>
    <x v="1"/>
    <x v="2"/>
    <n v="49525"/>
    <n v="17934"/>
    <n v="31591"/>
    <x v="89"/>
  </r>
  <r>
    <x v="74"/>
    <x v="7"/>
    <x v="0"/>
    <x v="0"/>
    <x v="2"/>
    <n v="114648"/>
    <n v="22737"/>
    <n v="91911"/>
    <x v="90"/>
  </r>
  <r>
    <x v="75"/>
    <x v="7"/>
    <x v="0"/>
    <x v="3"/>
    <x v="1"/>
    <n v="117214"/>
    <n v="23980"/>
    <n v="93234"/>
    <x v="91"/>
  </r>
  <r>
    <x v="76"/>
    <x v="8"/>
    <x v="0"/>
    <x v="2"/>
    <x v="1"/>
    <n v="114949"/>
    <n v="24287"/>
    <n v="90662"/>
    <x v="92"/>
  </r>
  <r>
    <x v="77"/>
    <x v="8"/>
    <x v="0"/>
    <x v="0"/>
    <x v="0"/>
    <n v="102830"/>
    <n v="87290"/>
    <n v="15540"/>
    <x v="93"/>
  </r>
  <r>
    <x v="78"/>
    <x v="8"/>
    <x v="0"/>
    <x v="1"/>
    <x v="0"/>
    <n v="70038"/>
    <n v="39675"/>
    <n v="30363"/>
    <x v="94"/>
  </r>
  <r>
    <x v="79"/>
    <x v="8"/>
    <x v="0"/>
    <x v="1"/>
    <x v="1"/>
    <n v="53545"/>
    <n v="57384"/>
    <n v="-3839"/>
    <x v="95"/>
  </r>
  <r>
    <x v="80"/>
    <x v="8"/>
    <x v="0"/>
    <x v="1"/>
    <x v="1"/>
    <n v="27211"/>
    <n v="70010"/>
    <n v="-42799"/>
    <x v="96"/>
  </r>
  <r>
    <x v="81"/>
    <x v="8"/>
    <x v="0"/>
    <x v="2"/>
    <x v="0"/>
    <n v="81158"/>
    <n v="28135"/>
    <n v="53023"/>
    <x v="97"/>
  </r>
  <r>
    <x v="82"/>
    <x v="8"/>
    <x v="0"/>
    <x v="2"/>
    <x v="0"/>
    <n v="111137"/>
    <n v="78260"/>
    <n v="32877"/>
    <x v="98"/>
  </r>
  <r>
    <x v="83"/>
    <x v="8"/>
    <x v="0"/>
    <x v="1"/>
    <x v="0"/>
    <n v="70289"/>
    <n v="32584"/>
    <n v="37705"/>
    <x v="99"/>
  </r>
  <r>
    <x v="83"/>
    <x v="8"/>
    <x v="0"/>
    <x v="3"/>
    <x v="1"/>
    <n v="30471"/>
    <n v="76374"/>
    <n v="-45903"/>
    <x v="100"/>
  </r>
  <r>
    <x v="84"/>
    <x v="8"/>
    <x v="0"/>
    <x v="1"/>
    <x v="1"/>
    <n v="21497"/>
    <n v="30213"/>
    <n v="-8716"/>
    <x v="101"/>
  </r>
  <r>
    <x v="85"/>
    <x v="9"/>
    <x v="0"/>
    <x v="0"/>
    <x v="3"/>
    <n v="21060"/>
    <n v="78168"/>
    <n v="-57108"/>
    <x v="102"/>
  </r>
  <r>
    <x v="85"/>
    <x v="9"/>
    <x v="0"/>
    <x v="0"/>
    <x v="1"/>
    <n v="98821"/>
    <n v="66204"/>
    <n v="32617"/>
    <x v="103"/>
  </r>
  <r>
    <x v="85"/>
    <x v="9"/>
    <x v="0"/>
    <x v="1"/>
    <x v="0"/>
    <n v="31531"/>
    <n v="89170"/>
    <n v="-57639"/>
    <x v="104"/>
  </r>
  <r>
    <x v="86"/>
    <x v="9"/>
    <x v="0"/>
    <x v="3"/>
    <x v="2"/>
    <n v="108263"/>
    <n v="82647"/>
    <n v="25616"/>
    <x v="105"/>
  </r>
  <r>
    <x v="87"/>
    <x v="9"/>
    <x v="0"/>
    <x v="0"/>
    <x v="2"/>
    <n v="94611"/>
    <n v="30844"/>
    <n v="63767"/>
    <x v="106"/>
  </r>
  <r>
    <x v="88"/>
    <x v="9"/>
    <x v="0"/>
    <x v="1"/>
    <x v="1"/>
    <n v="106633"/>
    <n v="16674"/>
    <n v="89959"/>
    <x v="107"/>
  </r>
  <r>
    <x v="89"/>
    <x v="9"/>
    <x v="0"/>
    <x v="0"/>
    <x v="2"/>
    <n v="119731"/>
    <n v="76539"/>
    <n v="43192"/>
    <x v="108"/>
  </r>
  <r>
    <x v="90"/>
    <x v="9"/>
    <x v="0"/>
    <x v="0"/>
    <x v="2"/>
    <n v="92414"/>
    <n v="14876"/>
    <n v="77538"/>
    <x v="109"/>
  </r>
  <r>
    <x v="91"/>
    <x v="9"/>
    <x v="0"/>
    <x v="3"/>
    <x v="1"/>
    <n v="98814"/>
    <n v="26876"/>
    <n v="71938"/>
    <x v="110"/>
  </r>
  <r>
    <x v="91"/>
    <x v="9"/>
    <x v="0"/>
    <x v="2"/>
    <x v="2"/>
    <n v="75317"/>
    <n v="44555"/>
    <n v="30762"/>
    <x v="111"/>
  </r>
  <r>
    <x v="92"/>
    <x v="9"/>
    <x v="0"/>
    <x v="0"/>
    <x v="0"/>
    <n v="71149"/>
    <n v="77673"/>
    <n v="-6524"/>
    <x v="112"/>
  </r>
  <r>
    <x v="92"/>
    <x v="9"/>
    <x v="0"/>
    <x v="0"/>
    <x v="1"/>
    <n v="117172"/>
    <n v="39082"/>
    <n v="78090"/>
    <x v="113"/>
  </r>
  <r>
    <x v="93"/>
    <x v="9"/>
    <x v="0"/>
    <x v="2"/>
    <x v="3"/>
    <n v="105810"/>
    <n v="74388"/>
    <n v="31422"/>
    <x v="114"/>
  </r>
  <r>
    <x v="94"/>
    <x v="9"/>
    <x v="0"/>
    <x v="2"/>
    <x v="2"/>
    <n v="34851"/>
    <n v="34299"/>
    <n v="552"/>
    <x v="115"/>
  </r>
  <r>
    <x v="95"/>
    <x v="9"/>
    <x v="0"/>
    <x v="0"/>
    <x v="2"/>
    <n v="46447"/>
    <n v="77316"/>
    <n v="-30869"/>
    <x v="116"/>
  </r>
  <r>
    <x v="96"/>
    <x v="10"/>
    <x v="0"/>
    <x v="2"/>
    <x v="2"/>
    <n v="110127"/>
    <n v="51833"/>
    <n v="58294"/>
    <x v="117"/>
  </r>
  <r>
    <x v="97"/>
    <x v="10"/>
    <x v="0"/>
    <x v="1"/>
    <x v="0"/>
    <n v="60496"/>
    <n v="15036"/>
    <n v="45460"/>
    <x v="118"/>
  </r>
  <r>
    <x v="98"/>
    <x v="10"/>
    <x v="0"/>
    <x v="3"/>
    <x v="3"/>
    <n v="44976"/>
    <n v="47111"/>
    <n v="-2135"/>
    <x v="119"/>
  </r>
  <r>
    <x v="98"/>
    <x v="10"/>
    <x v="0"/>
    <x v="2"/>
    <x v="1"/>
    <n v="91182"/>
    <n v="45415"/>
    <n v="45767"/>
    <x v="120"/>
  </r>
  <r>
    <x v="99"/>
    <x v="10"/>
    <x v="0"/>
    <x v="0"/>
    <x v="2"/>
    <n v="119058"/>
    <n v="38287"/>
    <n v="80771"/>
    <x v="121"/>
  </r>
  <r>
    <x v="100"/>
    <x v="10"/>
    <x v="0"/>
    <x v="3"/>
    <x v="1"/>
    <n v="95103"/>
    <n v="74203"/>
    <n v="20900"/>
    <x v="122"/>
  </r>
  <r>
    <x v="101"/>
    <x v="10"/>
    <x v="0"/>
    <x v="3"/>
    <x v="2"/>
    <n v="50452"/>
    <n v="80512"/>
    <n v="-30060"/>
    <x v="123"/>
  </r>
  <r>
    <x v="102"/>
    <x v="10"/>
    <x v="0"/>
    <x v="0"/>
    <x v="2"/>
    <n v="44075"/>
    <n v="82307"/>
    <n v="-38232"/>
    <x v="124"/>
  </r>
  <r>
    <x v="102"/>
    <x v="10"/>
    <x v="0"/>
    <x v="1"/>
    <x v="0"/>
    <n v="99687"/>
    <n v="38589"/>
    <n v="61098"/>
    <x v="125"/>
  </r>
  <r>
    <x v="103"/>
    <x v="10"/>
    <x v="0"/>
    <x v="3"/>
    <x v="2"/>
    <n v="72154"/>
    <n v="30805"/>
    <n v="41349"/>
    <x v="126"/>
  </r>
  <r>
    <x v="104"/>
    <x v="11"/>
    <x v="0"/>
    <x v="2"/>
    <x v="1"/>
    <n v="34901"/>
    <n v="73510"/>
    <n v="-38609"/>
    <x v="127"/>
  </r>
  <r>
    <x v="105"/>
    <x v="11"/>
    <x v="0"/>
    <x v="3"/>
    <x v="2"/>
    <n v="81930"/>
    <n v="66084"/>
    <n v="15846"/>
    <x v="128"/>
  </r>
  <r>
    <x v="106"/>
    <x v="11"/>
    <x v="0"/>
    <x v="2"/>
    <x v="1"/>
    <n v="108465"/>
    <n v="71164"/>
    <n v="37301"/>
    <x v="129"/>
  </r>
  <r>
    <x v="107"/>
    <x v="11"/>
    <x v="0"/>
    <x v="1"/>
    <x v="1"/>
    <n v="66584"/>
    <n v="87584"/>
    <n v="-21000"/>
    <x v="130"/>
  </r>
  <r>
    <x v="108"/>
    <x v="11"/>
    <x v="0"/>
    <x v="3"/>
    <x v="2"/>
    <n v="52886"/>
    <n v="50332"/>
    <n v="2554"/>
    <x v="131"/>
  </r>
  <r>
    <x v="109"/>
    <x v="11"/>
    <x v="0"/>
    <x v="1"/>
    <x v="0"/>
    <n v="62301"/>
    <n v="27203"/>
    <n v="35098"/>
    <x v="132"/>
  </r>
  <r>
    <x v="110"/>
    <x v="11"/>
    <x v="0"/>
    <x v="2"/>
    <x v="3"/>
    <n v="62972"/>
    <n v="51434"/>
    <n v="11538"/>
    <x v="133"/>
  </r>
  <r>
    <x v="111"/>
    <x v="11"/>
    <x v="0"/>
    <x v="1"/>
    <x v="1"/>
    <n v="87782"/>
    <n v="31158"/>
    <n v="56624"/>
    <x v="134"/>
  </r>
  <r>
    <x v="112"/>
    <x v="11"/>
    <x v="0"/>
    <x v="2"/>
    <x v="1"/>
    <n v="97814"/>
    <n v="73172"/>
    <n v="24642"/>
    <x v="135"/>
  </r>
  <r>
    <x v="113"/>
    <x v="0"/>
    <x v="1"/>
    <x v="0"/>
    <x v="2"/>
    <n v="118819"/>
    <n v="31439"/>
    <n v="87380"/>
    <x v="136"/>
  </r>
  <r>
    <x v="114"/>
    <x v="0"/>
    <x v="1"/>
    <x v="3"/>
    <x v="0"/>
    <n v="26075"/>
    <n v="16935"/>
    <n v="9140"/>
    <x v="137"/>
  </r>
  <r>
    <x v="115"/>
    <x v="0"/>
    <x v="1"/>
    <x v="2"/>
    <x v="3"/>
    <n v="93120"/>
    <n v="27433"/>
    <n v="65687"/>
    <x v="138"/>
  </r>
  <r>
    <x v="116"/>
    <x v="0"/>
    <x v="1"/>
    <x v="3"/>
    <x v="2"/>
    <n v="47619"/>
    <n v="76612"/>
    <n v="-28993"/>
    <x v="139"/>
  </r>
  <r>
    <x v="116"/>
    <x v="0"/>
    <x v="1"/>
    <x v="1"/>
    <x v="1"/>
    <n v="83426"/>
    <n v="87957"/>
    <n v="-4531"/>
    <x v="140"/>
  </r>
  <r>
    <x v="117"/>
    <x v="0"/>
    <x v="1"/>
    <x v="1"/>
    <x v="1"/>
    <n v="21584"/>
    <n v="30340"/>
    <n v="-8756"/>
    <x v="141"/>
  </r>
  <r>
    <x v="118"/>
    <x v="0"/>
    <x v="1"/>
    <x v="0"/>
    <x v="3"/>
    <n v="44329"/>
    <n v="70434"/>
    <n v="-26105"/>
    <x v="142"/>
  </r>
  <r>
    <x v="119"/>
    <x v="0"/>
    <x v="1"/>
    <x v="2"/>
    <x v="3"/>
    <n v="59077"/>
    <n v="35696"/>
    <n v="23381"/>
    <x v="143"/>
  </r>
  <r>
    <x v="120"/>
    <x v="0"/>
    <x v="1"/>
    <x v="0"/>
    <x v="2"/>
    <n v="102885"/>
    <n v="79513"/>
    <n v="23372"/>
    <x v="144"/>
  </r>
  <r>
    <x v="121"/>
    <x v="0"/>
    <x v="1"/>
    <x v="0"/>
    <x v="3"/>
    <n v="101695"/>
    <n v="85889"/>
    <n v="15806"/>
    <x v="145"/>
  </r>
  <r>
    <x v="122"/>
    <x v="1"/>
    <x v="1"/>
    <x v="0"/>
    <x v="2"/>
    <n v="69934"/>
    <n v="80017"/>
    <n v="-10083"/>
    <x v="146"/>
  </r>
  <r>
    <x v="123"/>
    <x v="1"/>
    <x v="1"/>
    <x v="3"/>
    <x v="2"/>
    <n v="119403"/>
    <n v="60518"/>
    <n v="58885"/>
    <x v="147"/>
  </r>
  <r>
    <x v="124"/>
    <x v="1"/>
    <x v="1"/>
    <x v="1"/>
    <x v="0"/>
    <n v="22735"/>
    <n v="28606"/>
    <n v="-5871"/>
    <x v="148"/>
  </r>
  <r>
    <x v="125"/>
    <x v="1"/>
    <x v="1"/>
    <x v="1"/>
    <x v="1"/>
    <n v="112282"/>
    <n v="77812"/>
    <n v="34470"/>
    <x v="149"/>
  </r>
  <r>
    <x v="126"/>
    <x v="1"/>
    <x v="1"/>
    <x v="2"/>
    <x v="3"/>
    <n v="104444"/>
    <n v="81389"/>
    <n v="23055"/>
    <x v="150"/>
  </r>
  <r>
    <x v="127"/>
    <x v="1"/>
    <x v="1"/>
    <x v="3"/>
    <x v="0"/>
    <n v="45862"/>
    <n v="83907"/>
    <n v="-38045"/>
    <x v="151"/>
  </r>
  <r>
    <x v="128"/>
    <x v="1"/>
    <x v="1"/>
    <x v="2"/>
    <x v="1"/>
    <n v="63417"/>
    <n v="39610"/>
    <n v="23807"/>
    <x v="152"/>
  </r>
  <r>
    <x v="129"/>
    <x v="1"/>
    <x v="1"/>
    <x v="3"/>
    <x v="0"/>
    <n v="74024"/>
    <n v="20765"/>
    <n v="53259"/>
    <x v="153"/>
  </r>
  <r>
    <x v="130"/>
    <x v="2"/>
    <x v="1"/>
    <x v="0"/>
    <x v="0"/>
    <n v="69943"/>
    <n v="50365"/>
    <n v="19578"/>
    <x v="154"/>
  </r>
  <r>
    <x v="131"/>
    <x v="2"/>
    <x v="1"/>
    <x v="2"/>
    <x v="1"/>
    <n v="70273"/>
    <n v="27592"/>
    <n v="42681"/>
    <x v="155"/>
  </r>
  <r>
    <x v="132"/>
    <x v="2"/>
    <x v="1"/>
    <x v="2"/>
    <x v="2"/>
    <n v="58613"/>
    <n v="42219"/>
    <n v="16394"/>
    <x v="156"/>
  </r>
  <r>
    <x v="133"/>
    <x v="2"/>
    <x v="1"/>
    <x v="3"/>
    <x v="0"/>
    <n v="77014"/>
    <n v="55088"/>
    <n v="21926"/>
    <x v="157"/>
  </r>
  <r>
    <x v="134"/>
    <x v="2"/>
    <x v="1"/>
    <x v="0"/>
    <x v="0"/>
    <n v="109576"/>
    <n v="64570"/>
    <n v="45006"/>
    <x v="158"/>
  </r>
  <r>
    <x v="134"/>
    <x v="2"/>
    <x v="1"/>
    <x v="0"/>
    <x v="2"/>
    <n v="100931"/>
    <n v="20330"/>
    <n v="80601"/>
    <x v="159"/>
  </r>
  <r>
    <x v="135"/>
    <x v="2"/>
    <x v="1"/>
    <x v="2"/>
    <x v="3"/>
    <n v="52434"/>
    <n v="83789"/>
    <n v="-31355"/>
    <x v="160"/>
  </r>
  <r>
    <x v="136"/>
    <x v="2"/>
    <x v="1"/>
    <x v="3"/>
    <x v="0"/>
    <n v="63777"/>
    <n v="63355"/>
    <n v="422"/>
    <x v="161"/>
  </r>
  <r>
    <x v="137"/>
    <x v="2"/>
    <x v="1"/>
    <x v="2"/>
    <x v="2"/>
    <n v="22163"/>
    <n v="70247"/>
    <n v="-48084"/>
    <x v="162"/>
  </r>
  <r>
    <x v="138"/>
    <x v="3"/>
    <x v="1"/>
    <x v="2"/>
    <x v="0"/>
    <n v="100886"/>
    <n v="29408"/>
    <n v="71478"/>
    <x v="163"/>
  </r>
  <r>
    <x v="139"/>
    <x v="3"/>
    <x v="1"/>
    <x v="0"/>
    <x v="3"/>
    <n v="109357"/>
    <n v="30651"/>
    <n v="78706"/>
    <x v="164"/>
  </r>
  <r>
    <x v="140"/>
    <x v="3"/>
    <x v="1"/>
    <x v="1"/>
    <x v="2"/>
    <n v="95409"/>
    <n v="22308"/>
    <n v="73101"/>
    <x v="165"/>
  </r>
  <r>
    <x v="141"/>
    <x v="3"/>
    <x v="1"/>
    <x v="2"/>
    <x v="3"/>
    <n v="26222"/>
    <n v="41489"/>
    <n v="-15267"/>
    <x v="166"/>
  </r>
  <r>
    <x v="141"/>
    <x v="3"/>
    <x v="1"/>
    <x v="2"/>
    <x v="0"/>
    <n v="82540"/>
    <n v="29237"/>
    <n v="53303"/>
    <x v="167"/>
  </r>
  <r>
    <x v="142"/>
    <x v="3"/>
    <x v="1"/>
    <x v="3"/>
    <x v="2"/>
    <n v="42099"/>
    <n v="32119"/>
    <n v="9980"/>
    <x v="168"/>
  </r>
  <r>
    <x v="143"/>
    <x v="3"/>
    <x v="1"/>
    <x v="1"/>
    <x v="1"/>
    <n v="43137"/>
    <n v="14523"/>
    <n v="28614"/>
    <x v="169"/>
  </r>
  <r>
    <x v="144"/>
    <x v="3"/>
    <x v="1"/>
    <x v="1"/>
    <x v="0"/>
    <n v="21624"/>
    <n v="82160"/>
    <n v="-60536"/>
    <x v="170"/>
  </r>
  <r>
    <x v="145"/>
    <x v="4"/>
    <x v="1"/>
    <x v="1"/>
    <x v="3"/>
    <n v="27163"/>
    <n v="26147"/>
    <n v="1016"/>
    <x v="171"/>
  </r>
  <r>
    <x v="146"/>
    <x v="4"/>
    <x v="1"/>
    <x v="1"/>
    <x v="1"/>
    <n v="62564"/>
    <n v="58190"/>
    <n v="4374"/>
    <x v="172"/>
  </r>
  <r>
    <x v="147"/>
    <x v="4"/>
    <x v="1"/>
    <x v="0"/>
    <x v="1"/>
    <n v="106380"/>
    <n v="37151"/>
    <n v="69229"/>
    <x v="173"/>
  </r>
  <r>
    <x v="148"/>
    <x v="4"/>
    <x v="1"/>
    <x v="3"/>
    <x v="2"/>
    <n v="83951"/>
    <n v="18709"/>
    <n v="65242"/>
    <x v="174"/>
  </r>
  <r>
    <x v="149"/>
    <x v="4"/>
    <x v="1"/>
    <x v="0"/>
    <x v="3"/>
    <n v="83198"/>
    <n v="42628"/>
    <n v="40570"/>
    <x v="175"/>
  </r>
  <r>
    <x v="150"/>
    <x v="4"/>
    <x v="1"/>
    <x v="2"/>
    <x v="1"/>
    <n v="93692"/>
    <n v="35146"/>
    <n v="58546"/>
    <x v="176"/>
  </r>
  <r>
    <x v="151"/>
    <x v="4"/>
    <x v="1"/>
    <x v="1"/>
    <x v="1"/>
    <n v="34899"/>
    <n v="83079"/>
    <n v="-48180"/>
    <x v="177"/>
  </r>
  <r>
    <x v="152"/>
    <x v="4"/>
    <x v="1"/>
    <x v="2"/>
    <x v="3"/>
    <n v="20412"/>
    <n v="52457"/>
    <n v="-32045"/>
    <x v="178"/>
  </r>
  <r>
    <x v="153"/>
    <x v="5"/>
    <x v="1"/>
    <x v="0"/>
    <x v="2"/>
    <n v="82622"/>
    <n v="70600"/>
    <n v="12022"/>
    <x v="179"/>
  </r>
  <r>
    <x v="154"/>
    <x v="5"/>
    <x v="1"/>
    <x v="0"/>
    <x v="2"/>
    <n v="78330"/>
    <n v="72446"/>
    <n v="5884"/>
    <x v="180"/>
  </r>
  <r>
    <x v="154"/>
    <x v="5"/>
    <x v="1"/>
    <x v="3"/>
    <x v="0"/>
    <n v="99162"/>
    <n v="82622"/>
    <n v="16540"/>
    <x v="181"/>
  </r>
  <r>
    <x v="155"/>
    <x v="5"/>
    <x v="1"/>
    <x v="3"/>
    <x v="0"/>
    <n v="98392"/>
    <n v="41128"/>
    <n v="57264"/>
    <x v="182"/>
  </r>
  <r>
    <x v="156"/>
    <x v="5"/>
    <x v="1"/>
    <x v="2"/>
    <x v="2"/>
    <n v="76327"/>
    <n v="89207"/>
    <n v="-12880"/>
    <x v="183"/>
  </r>
  <r>
    <x v="157"/>
    <x v="5"/>
    <x v="1"/>
    <x v="3"/>
    <x v="1"/>
    <n v="26863"/>
    <n v="54869"/>
    <n v="-28006"/>
    <x v="184"/>
  </r>
  <r>
    <x v="157"/>
    <x v="5"/>
    <x v="1"/>
    <x v="3"/>
    <x v="0"/>
    <n v="49464"/>
    <n v="62518"/>
    <n v="-13054"/>
    <x v="185"/>
  </r>
  <r>
    <x v="157"/>
    <x v="5"/>
    <x v="1"/>
    <x v="1"/>
    <x v="2"/>
    <n v="109724"/>
    <n v="47242"/>
    <n v="62482"/>
    <x v="186"/>
  </r>
  <r>
    <x v="158"/>
    <x v="5"/>
    <x v="1"/>
    <x v="1"/>
    <x v="3"/>
    <n v="88380"/>
    <n v="79840"/>
    <n v="8540"/>
    <x v="187"/>
  </r>
  <r>
    <x v="159"/>
    <x v="5"/>
    <x v="1"/>
    <x v="2"/>
    <x v="3"/>
    <n v="94061"/>
    <n v="16627"/>
    <n v="77434"/>
    <x v="188"/>
  </r>
  <r>
    <x v="160"/>
    <x v="5"/>
    <x v="1"/>
    <x v="2"/>
    <x v="0"/>
    <n v="102950"/>
    <n v="54341"/>
    <n v="48609"/>
    <x v="189"/>
  </r>
  <r>
    <x v="160"/>
    <x v="5"/>
    <x v="1"/>
    <x v="3"/>
    <x v="0"/>
    <n v="38420"/>
    <n v="22894"/>
    <n v="15526"/>
    <x v="190"/>
  </r>
  <r>
    <x v="161"/>
    <x v="5"/>
    <x v="1"/>
    <x v="1"/>
    <x v="0"/>
    <n v="45498"/>
    <n v="72532"/>
    <n v="-27034"/>
    <x v="191"/>
  </r>
  <r>
    <x v="162"/>
    <x v="5"/>
    <x v="1"/>
    <x v="1"/>
    <x v="0"/>
    <n v="47813"/>
    <n v="45992"/>
    <n v="1821"/>
    <x v="192"/>
  </r>
  <r>
    <x v="163"/>
    <x v="5"/>
    <x v="1"/>
    <x v="2"/>
    <x v="3"/>
    <n v="111923"/>
    <n v="57476"/>
    <n v="54447"/>
    <x v="193"/>
  </r>
  <r>
    <x v="164"/>
    <x v="6"/>
    <x v="1"/>
    <x v="0"/>
    <x v="2"/>
    <n v="115553"/>
    <n v="24223"/>
    <n v="91330"/>
    <x v="194"/>
  </r>
  <r>
    <x v="165"/>
    <x v="6"/>
    <x v="1"/>
    <x v="0"/>
    <x v="1"/>
    <n v="65520"/>
    <n v="85602"/>
    <n v="-20082"/>
    <x v="195"/>
  </r>
  <r>
    <x v="166"/>
    <x v="6"/>
    <x v="1"/>
    <x v="3"/>
    <x v="0"/>
    <n v="58503"/>
    <n v="68290"/>
    <n v="-9787"/>
    <x v="196"/>
  </r>
  <r>
    <x v="167"/>
    <x v="6"/>
    <x v="1"/>
    <x v="3"/>
    <x v="2"/>
    <n v="44710"/>
    <n v="28866"/>
    <n v="15844"/>
    <x v="197"/>
  </r>
  <r>
    <x v="168"/>
    <x v="6"/>
    <x v="1"/>
    <x v="1"/>
    <x v="0"/>
    <n v="101464"/>
    <n v="22795"/>
    <n v="78669"/>
    <x v="198"/>
  </r>
  <r>
    <x v="168"/>
    <x v="6"/>
    <x v="1"/>
    <x v="1"/>
    <x v="1"/>
    <n v="28432"/>
    <n v="17864"/>
    <n v="10568"/>
    <x v="199"/>
  </r>
  <r>
    <x v="169"/>
    <x v="6"/>
    <x v="1"/>
    <x v="3"/>
    <x v="1"/>
    <n v="38927"/>
    <n v="53896"/>
    <n v="-14969"/>
    <x v="200"/>
  </r>
  <r>
    <x v="170"/>
    <x v="6"/>
    <x v="1"/>
    <x v="3"/>
    <x v="0"/>
    <n v="34870"/>
    <n v="87675"/>
    <n v="-52805"/>
    <x v="201"/>
  </r>
  <r>
    <x v="171"/>
    <x v="6"/>
    <x v="1"/>
    <x v="3"/>
    <x v="0"/>
    <n v="22811"/>
    <n v="71935"/>
    <n v="-49124"/>
    <x v="202"/>
  </r>
  <r>
    <x v="172"/>
    <x v="7"/>
    <x v="1"/>
    <x v="2"/>
    <x v="3"/>
    <n v="108378"/>
    <n v="62942"/>
    <n v="45436"/>
    <x v="203"/>
  </r>
  <r>
    <x v="172"/>
    <x v="7"/>
    <x v="1"/>
    <x v="0"/>
    <x v="1"/>
    <n v="113605"/>
    <n v="46617"/>
    <n v="66988"/>
    <x v="204"/>
  </r>
  <r>
    <x v="173"/>
    <x v="7"/>
    <x v="1"/>
    <x v="3"/>
    <x v="2"/>
    <n v="64321"/>
    <n v="18713"/>
    <n v="45608"/>
    <x v="205"/>
  </r>
  <r>
    <x v="174"/>
    <x v="7"/>
    <x v="1"/>
    <x v="3"/>
    <x v="1"/>
    <n v="64017"/>
    <n v="36022"/>
    <n v="27995"/>
    <x v="206"/>
  </r>
  <r>
    <x v="175"/>
    <x v="7"/>
    <x v="1"/>
    <x v="2"/>
    <x v="3"/>
    <n v="69449"/>
    <n v="58325"/>
    <n v="11124"/>
    <x v="207"/>
  </r>
  <r>
    <x v="176"/>
    <x v="7"/>
    <x v="1"/>
    <x v="0"/>
    <x v="2"/>
    <n v="119417"/>
    <n v="25694"/>
    <n v="93723"/>
    <x v="13"/>
  </r>
  <r>
    <x v="177"/>
    <x v="7"/>
    <x v="1"/>
    <x v="1"/>
    <x v="0"/>
    <n v="108736"/>
    <n v="55197"/>
    <n v="53539"/>
    <x v="208"/>
  </r>
  <r>
    <x v="178"/>
    <x v="7"/>
    <x v="1"/>
    <x v="2"/>
    <x v="2"/>
    <n v="110001"/>
    <n v="24891"/>
    <n v="85110"/>
    <x v="209"/>
  </r>
  <r>
    <x v="179"/>
    <x v="8"/>
    <x v="1"/>
    <x v="2"/>
    <x v="2"/>
    <n v="85407"/>
    <n v="18872"/>
    <n v="66535"/>
    <x v="210"/>
  </r>
  <r>
    <x v="180"/>
    <x v="8"/>
    <x v="1"/>
    <x v="0"/>
    <x v="3"/>
    <n v="93762"/>
    <n v="78146"/>
    <n v="15616"/>
    <x v="211"/>
  </r>
  <r>
    <x v="181"/>
    <x v="8"/>
    <x v="1"/>
    <x v="0"/>
    <x v="3"/>
    <n v="88847"/>
    <n v="14764"/>
    <n v="74083"/>
    <x v="212"/>
  </r>
  <r>
    <x v="182"/>
    <x v="8"/>
    <x v="1"/>
    <x v="3"/>
    <x v="0"/>
    <n v="103165"/>
    <n v="65314"/>
    <n v="37851"/>
    <x v="213"/>
  </r>
  <r>
    <x v="183"/>
    <x v="8"/>
    <x v="1"/>
    <x v="3"/>
    <x v="0"/>
    <n v="44768"/>
    <n v="80383"/>
    <n v="-35615"/>
    <x v="214"/>
  </r>
  <r>
    <x v="184"/>
    <x v="8"/>
    <x v="1"/>
    <x v="0"/>
    <x v="3"/>
    <n v="107899"/>
    <n v="23554"/>
    <n v="84345"/>
    <x v="215"/>
  </r>
  <r>
    <x v="185"/>
    <x v="8"/>
    <x v="1"/>
    <x v="0"/>
    <x v="1"/>
    <n v="98965"/>
    <n v="73153"/>
    <n v="25812"/>
    <x v="216"/>
  </r>
  <r>
    <x v="186"/>
    <x v="8"/>
    <x v="1"/>
    <x v="1"/>
    <x v="0"/>
    <n v="101505"/>
    <n v="14435"/>
    <n v="87070"/>
    <x v="217"/>
  </r>
  <r>
    <x v="187"/>
    <x v="8"/>
    <x v="1"/>
    <x v="2"/>
    <x v="0"/>
    <n v="95882"/>
    <n v="19013"/>
    <n v="76869"/>
    <x v="218"/>
  </r>
  <r>
    <x v="188"/>
    <x v="8"/>
    <x v="1"/>
    <x v="2"/>
    <x v="1"/>
    <n v="28852"/>
    <n v="69309"/>
    <n v="-40457"/>
    <x v="219"/>
  </r>
  <r>
    <x v="189"/>
    <x v="8"/>
    <x v="1"/>
    <x v="0"/>
    <x v="0"/>
    <n v="28128"/>
    <n v="18111"/>
    <n v="10017"/>
    <x v="220"/>
  </r>
  <r>
    <x v="190"/>
    <x v="8"/>
    <x v="1"/>
    <x v="1"/>
    <x v="2"/>
    <n v="104236"/>
    <n v="21540"/>
    <n v="82696"/>
    <x v="221"/>
  </r>
  <r>
    <x v="191"/>
    <x v="9"/>
    <x v="1"/>
    <x v="0"/>
    <x v="1"/>
    <n v="104150"/>
    <n v="29442"/>
    <n v="74708"/>
    <x v="222"/>
  </r>
  <r>
    <x v="192"/>
    <x v="9"/>
    <x v="1"/>
    <x v="1"/>
    <x v="1"/>
    <n v="118887"/>
    <n v="31564"/>
    <n v="87323"/>
    <x v="223"/>
  </r>
  <r>
    <x v="193"/>
    <x v="9"/>
    <x v="1"/>
    <x v="0"/>
    <x v="2"/>
    <n v="116504"/>
    <n v="83779"/>
    <n v="32725"/>
    <x v="224"/>
  </r>
  <r>
    <x v="194"/>
    <x v="9"/>
    <x v="1"/>
    <x v="2"/>
    <x v="3"/>
    <n v="98628"/>
    <n v="35427"/>
    <n v="63201"/>
    <x v="225"/>
  </r>
  <r>
    <x v="195"/>
    <x v="9"/>
    <x v="1"/>
    <x v="3"/>
    <x v="3"/>
    <n v="56582"/>
    <n v="37278"/>
    <n v="19304"/>
    <x v="226"/>
  </r>
  <r>
    <x v="196"/>
    <x v="9"/>
    <x v="1"/>
    <x v="0"/>
    <x v="0"/>
    <n v="54531"/>
    <n v="29322"/>
    <n v="25209"/>
    <x v="227"/>
  </r>
  <r>
    <x v="196"/>
    <x v="9"/>
    <x v="1"/>
    <x v="1"/>
    <x v="3"/>
    <n v="59401"/>
    <n v="80586"/>
    <n v="-21185"/>
    <x v="228"/>
  </r>
  <r>
    <x v="196"/>
    <x v="9"/>
    <x v="1"/>
    <x v="2"/>
    <x v="3"/>
    <n v="43681"/>
    <n v="27808"/>
    <n v="15873"/>
    <x v="229"/>
  </r>
  <r>
    <x v="197"/>
    <x v="9"/>
    <x v="1"/>
    <x v="3"/>
    <x v="2"/>
    <n v="98699"/>
    <n v="63972"/>
    <n v="34727"/>
    <x v="230"/>
  </r>
  <r>
    <x v="198"/>
    <x v="9"/>
    <x v="1"/>
    <x v="0"/>
    <x v="3"/>
    <n v="48744"/>
    <n v="18999"/>
    <n v="29745"/>
    <x v="231"/>
  </r>
  <r>
    <x v="199"/>
    <x v="9"/>
    <x v="1"/>
    <x v="1"/>
    <x v="1"/>
    <n v="39284"/>
    <n v="57365"/>
    <n v="-18081"/>
    <x v="232"/>
  </r>
  <r>
    <x v="200"/>
    <x v="9"/>
    <x v="1"/>
    <x v="3"/>
    <x v="2"/>
    <n v="83083"/>
    <n v="46867"/>
    <n v="36216"/>
    <x v="233"/>
  </r>
  <r>
    <x v="201"/>
    <x v="10"/>
    <x v="1"/>
    <x v="2"/>
    <x v="2"/>
    <n v="65703"/>
    <n v="60311"/>
    <n v="5392"/>
    <x v="234"/>
  </r>
  <r>
    <x v="202"/>
    <x v="10"/>
    <x v="1"/>
    <x v="3"/>
    <x v="1"/>
    <n v="113155"/>
    <n v="70590"/>
    <n v="42565"/>
    <x v="235"/>
  </r>
  <r>
    <x v="203"/>
    <x v="10"/>
    <x v="1"/>
    <x v="1"/>
    <x v="2"/>
    <n v="74608"/>
    <n v="26745"/>
    <n v="47863"/>
    <x v="236"/>
  </r>
  <r>
    <x v="204"/>
    <x v="10"/>
    <x v="1"/>
    <x v="3"/>
    <x v="3"/>
    <n v="26572"/>
    <n v="46053"/>
    <n v="-19481"/>
    <x v="237"/>
  </r>
  <r>
    <x v="205"/>
    <x v="10"/>
    <x v="1"/>
    <x v="0"/>
    <x v="0"/>
    <n v="90527"/>
    <n v="50907"/>
    <n v="39620"/>
    <x v="238"/>
  </r>
  <r>
    <x v="206"/>
    <x v="10"/>
    <x v="1"/>
    <x v="2"/>
    <x v="0"/>
    <n v="37563"/>
    <n v="64363"/>
    <n v="-26800"/>
    <x v="239"/>
  </r>
  <r>
    <x v="207"/>
    <x v="10"/>
    <x v="1"/>
    <x v="1"/>
    <x v="2"/>
    <n v="65697"/>
    <n v="15550"/>
    <n v="50147"/>
    <x v="240"/>
  </r>
  <r>
    <x v="208"/>
    <x v="10"/>
    <x v="1"/>
    <x v="0"/>
    <x v="1"/>
    <n v="57991"/>
    <n v="32583"/>
    <n v="25408"/>
    <x v="241"/>
  </r>
  <r>
    <x v="209"/>
    <x v="10"/>
    <x v="1"/>
    <x v="2"/>
    <x v="3"/>
    <n v="34199"/>
    <n v="30840"/>
    <n v="3359"/>
    <x v="242"/>
  </r>
  <r>
    <x v="210"/>
    <x v="10"/>
    <x v="1"/>
    <x v="2"/>
    <x v="2"/>
    <n v="104237"/>
    <n v="45161"/>
    <n v="59076"/>
    <x v="243"/>
  </r>
  <r>
    <x v="210"/>
    <x v="10"/>
    <x v="1"/>
    <x v="0"/>
    <x v="0"/>
    <n v="113636"/>
    <n v="12555"/>
    <n v="101081"/>
    <x v="244"/>
  </r>
  <r>
    <x v="210"/>
    <x v="10"/>
    <x v="1"/>
    <x v="2"/>
    <x v="0"/>
    <n v="33585"/>
    <n v="83320"/>
    <n v="-49735"/>
    <x v="245"/>
  </r>
  <r>
    <x v="211"/>
    <x v="11"/>
    <x v="1"/>
    <x v="0"/>
    <x v="1"/>
    <n v="115690"/>
    <n v="39278"/>
    <n v="76412"/>
    <x v="246"/>
  </r>
  <r>
    <x v="212"/>
    <x v="11"/>
    <x v="1"/>
    <x v="1"/>
    <x v="3"/>
    <n v="20735"/>
    <n v="53685"/>
    <n v="-32950"/>
    <x v="247"/>
  </r>
  <r>
    <x v="213"/>
    <x v="11"/>
    <x v="1"/>
    <x v="2"/>
    <x v="0"/>
    <n v="61240"/>
    <n v="52151"/>
    <n v="9089"/>
    <x v="248"/>
  </r>
  <r>
    <x v="214"/>
    <x v="11"/>
    <x v="1"/>
    <x v="2"/>
    <x v="3"/>
    <n v="83856"/>
    <n v="45502"/>
    <n v="38354"/>
    <x v="249"/>
  </r>
  <r>
    <x v="215"/>
    <x v="11"/>
    <x v="1"/>
    <x v="1"/>
    <x v="1"/>
    <n v="75280"/>
    <n v="65516"/>
    <n v="9764"/>
    <x v="250"/>
  </r>
  <r>
    <x v="215"/>
    <x v="11"/>
    <x v="1"/>
    <x v="0"/>
    <x v="3"/>
    <n v="69298"/>
    <n v="51686"/>
    <n v="17612"/>
    <x v="251"/>
  </r>
  <r>
    <x v="216"/>
    <x v="11"/>
    <x v="1"/>
    <x v="1"/>
    <x v="1"/>
    <n v="50741"/>
    <n v="28461"/>
    <n v="22280"/>
    <x v="252"/>
  </r>
  <r>
    <x v="217"/>
    <x v="11"/>
    <x v="1"/>
    <x v="1"/>
    <x v="1"/>
    <n v="51137"/>
    <n v="65431"/>
    <n v="-14294"/>
    <x v="253"/>
  </r>
  <r>
    <x v="218"/>
    <x v="11"/>
    <x v="1"/>
    <x v="3"/>
    <x v="3"/>
    <n v="80531"/>
    <n v="28505"/>
    <n v="52026"/>
    <x v="55"/>
  </r>
  <r>
    <x v="219"/>
    <x v="11"/>
    <x v="1"/>
    <x v="3"/>
    <x v="0"/>
    <n v="84611"/>
    <n v="62835"/>
    <n v="21776"/>
    <x v="254"/>
  </r>
  <r>
    <x v="220"/>
    <x v="0"/>
    <x v="2"/>
    <x v="2"/>
    <x v="3"/>
    <n v="87834"/>
    <n v="75692"/>
    <n v="12142"/>
    <x v="255"/>
  </r>
  <r>
    <x v="221"/>
    <x v="0"/>
    <x v="2"/>
    <x v="0"/>
    <x v="3"/>
    <n v="55427"/>
    <n v="17236"/>
    <n v="38191"/>
    <x v="256"/>
  </r>
  <r>
    <x v="222"/>
    <x v="0"/>
    <x v="2"/>
    <x v="2"/>
    <x v="0"/>
    <n v="29753"/>
    <n v="89197"/>
    <n v="-59444"/>
    <x v="257"/>
  </r>
  <r>
    <x v="223"/>
    <x v="0"/>
    <x v="2"/>
    <x v="3"/>
    <x v="2"/>
    <n v="36728"/>
    <n v="57182"/>
    <n v="-20454"/>
    <x v="258"/>
  </r>
  <r>
    <x v="224"/>
    <x v="0"/>
    <x v="2"/>
    <x v="3"/>
    <x v="2"/>
    <n v="48086"/>
    <n v="54172"/>
    <n v="-6086"/>
    <x v="259"/>
  </r>
  <r>
    <x v="225"/>
    <x v="0"/>
    <x v="2"/>
    <x v="1"/>
    <x v="2"/>
    <n v="53663"/>
    <n v="75218"/>
    <n v="-21555"/>
    <x v="260"/>
  </r>
  <r>
    <x v="226"/>
    <x v="0"/>
    <x v="2"/>
    <x v="1"/>
    <x v="2"/>
    <n v="102913"/>
    <n v="86317"/>
    <n v="16596"/>
    <x v="261"/>
  </r>
  <r>
    <x v="227"/>
    <x v="0"/>
    <x v="2"/>
    <x v="3"/>
    <x v="3"/>
    <n v="37814"/>
    <n v="37256"/>
    <n v="558"/>
    <x v="262"/>
  </r>
  <r>
    <x v="228"/>
    <x v="0"/>
    <x v="2"/>
    <x v="3"/>
    <x v="0"/>
    <n v="87692"/>
    <n v="57665"/>
    <n v="30027"/>
    <x v="263"/>
  </r>
  <r>
    <x v="228"/>
    <x v="0"/>
    <x v="2"/>
    <x v="0"/>
    <x v="2"/>
    <n v="113862"/>
    <n v="27896"/>
    <n v="85966"/>
    <x v="264"/>
  </r>
  <r>
    <x v="229"/>
    <x v="0"/>
    <x v="2"/>
    <x v="1"/>
    <x v="2"/>
    <n v="43727"/>
    <n v="47529"/>
    <n v="-3802"/>
    <x v="265"/>
  </r>
  <r>
    <x v="230"/>
    <x v="0"/>
    <x v="2"/>
    <x v="2"/>
    <x v="0"/>
    <n v="108599"/>
    <n v="12866"/>
    <n v="95733"/>
    <x v="266"/>
  </r>
  <r>
    <x v="231"/>
    <x v="1"/>
    <x v="2"/>
    <x v="0"/>
    <x v="0"/>
    <n v="119731"/>
    <n v="77634"/>
    <n v="42097"/>
    <x v="267"/>
  </r>
  <r>
    <x v="232"/>
    <x v="1"/>
    <x v="2"/>
    <x v="2"/>
    <x v="2"/>
    <n v="65130"/>
    <n v="72741"/>
    <n v="-7611"/>
    <x v="268"/>
  </r>
  <r>
    <x v="233"/>
    <x v="1"/>
    <x v="2"/>
    <x v="0"/>
    <x v="2"/>
    <n v="88485"/>
    <n v="67804"/>
    <n v="20681"/>
    <x v="92"/>
  </r>
  <r>
    <x v="234"/>
    <x v="1"/>
    <x v="2"/>
    <x v="3"/>
    <x v="2"/>
    <n v="20309"/>
    <n v="54353"/>
    <n v="-34044"/>
    <x v="269"/>
  </r>
  <r>
    <x v="235"/>
    <x v="1"/>
    <x v="2"/>
    <x v="0"/>
    <x v="2"/>
    <n v="89432"/>
    <n v="40109"/>
    <n v="49323"/>
    <x v="270"/>
  </r>
  <r>
    <x v="236"/>
    <x v="2"/>
    <x v="2"/>
    <x v="2"/>
    <x v="2"/>
    <n v="55388"/>
    <n v="30283"/>
    <n v="25105"/>
    <x v="271"/>
  </r>
  <r>
    <x v="236"/>
    <x v="2"/>
    <x v="2"/>
    <x v="1"/>
    <x v="2"/>
    <n v="28584"/>
    <n v="79474"/>
    <n v="-50890"/>
    <x v="272"/>
  </r>
  <r>
    <x v="237"/>
    <x v="2"/>
    <x v="2"/>
    <x v="1"/>
    <x v="3"/>
    <n v="46847"/>
    <n v="21236"/>
    <n v="25611"/>
    <x v="273"/>
  </r>
  <r>
    <x v="238"/>
    <x v="2"/>
    <x v="2"/>
    <x v="2"/>
    <x v="3"/>
    <n v="26753"/>
    <n v="69665"/>
    <n v="-42912"/>
    <x v="274"/>
  </r>
  <r>
    <x v="239"/>
    <x v="2"/>
    <x v="2"/>
    <x v="3"/>
    <x v="0"/>
    <n v="28769"/>
    <n v="41173"/>
    <n v="-12404"/>
    <x v="275"/>
  </r>
  <r>
    <x v="240"/>
    <x v="2"/>
    <x v="2"/>
    <x v="3"/>
    <x v="1"/>
    <n v="66032"/>
    <n v="65583"/>
    <n v="449"/>
    <x v="276"/>
  </r>
  <r>
    <x v="241"/>
    <x v="2"/>
    <x v="2"/>
    <x v="2"/>
    <x v="0"/>
    <n v="106096"/>
    <n v="27338"/>
    <n v="78758"/>
    <x v="277"/>
  </r>
  <r>
    <x v="242"/>
    <x v="2"/>
    <x v="2"/>
    <x v="0"/>
    <x v="2"/>
    <n v="44596"/>
    <n v="81090"/>
    <n v="-36494"/>
    <x v="278"/>
  </r>
  <r>
    <x v="243"/>
    <x v="3"/>
    <x v="2"/>
    <x v="0"/>
    <x v="0"/>
    <n v="109845"/>
    <n v="13723"/>
    <n v="96122"/>
    <x v="279"/>
  </r>
  <r>
    <x v="244"/>
    <x v="3"/>
    <x v="2"/>
    <x v="0"/>
    <x v="0"/>
    <n v="48968"/>
    <n v="82358"/>
    <n v="-33390"/>
    <x v="280"/>
  </r>
  <r>
    <x v="245"/>
    <x v="3"/>
    <x v="2"/>
    <x v="3"/>
    <x v="2"/>
    <n v="88055"/>
    <n v="67750"/>
    <n v="20305"/>
    <x v="281"/>
  </r>
  <r>
    <x v="246"/>
    <x v="4"/>
    <x v="2"/>
    <x v="0"/>
    <x v="2"/>
    <n v="44077"/>
    <n v="18313"/>
    <n v="25764"/>
    <x v="282"/>
  </r>
  <r>
    <x v="247"/>
    <x v="4"/>
    <x v="2"/>
    <x v="3"/>
    <x v="2"/>
    <n v="29649"/>
    <n v="73874"/>
    <n v="-44225"/>
    <x v="283"/>
  </r>
  <r>
    <x v="248"/>
    <x v="4"/>
    <x v="2"/>
    <x v="3"/>
    <x v="0"/>
    <n v="54141"/>
    <n v="72393"/>
    <n v="-18252"/>
    <x v="284"/>
  </r>
  <r>
    <x v="249"/>
    <x v="4"/>
    <x v="2"/>
    <x v="2"/>
    <x v="1"/>
    <n v="107708"/>
    <n v="64586"/>
    <n v="43122"/>
    <x v="285"/>
  </r>
  <r>
    <x v="250"/>
    <x v="4"/>
    <x v="2"/>
    <x v="0"/>
    <x v="3"/>
    <n v="62787"/>
    <n v="38690"/>
    <n v="24097"/>
    <x v="286"/>
  </r>
  <r>
    <x v="251"/>
    <x v="4"/>
    <x v="2"/>
    <x v="2"/>
    <x v="2"/>
    <n v="80460"/>
    <n v="73430"/>
    <n v="7030"/>
    <x v="287"/>
  </r>
  <r>
    <x v="252"/>
    <x v="5"/>
    <x v="2"/>
    <x v="0"/>
    <x v="2"/>
    <n v="86859"/>
    <n v="89857"/>
    <n v="-2998"/>
    <x v="288"/>
  </r>
  <r>
    <x v="253"/>
    <x v="5"/>
    <x v="2"/>
    <x v="2"/>
    <x v="1"/>
    <n v="55172"/>
    <n v="10822"/>
    <n v="44350"/>
    <x v="289"/>
  </r>
  <r>
    <x v="254"/>
    <x v="5"/>
    <x v="2"/>
    <x v="0"/>
    <x v="3"/>
    <n v="79143"/>
    <n v="19444"/>
    <n v="59699"/>
    <x v="290"/>
  </r>
  <r>
    <x v="255"/>
    <x v="5"/>
    <x v="2"/>
    <x v="3"/>
    <x v="0"/>
    <n v="78742"/>
    <n v="89987"/>
    <n v="-11245"/>
    <x v="291"/>
  </r>
  <r>
    <x v="256"/>
    <x v="5"/>
    <x v="2"/>
    <x v="3"/>
    <x v="3"/>
    <n v="55608"/>
    <n v="14957"/>
    <n v="40651"/>
    <x v="292"/>
  </r>
  <r>
    <x v="257"/>
    <x v="5"/>
    <x v="2"/>
    <x v="1"/>
    <x v="1"/>
    <n v="97365"/>
    <n v="37713"/>
    <n v="59652"/>
    <x v="293"/>
  </r>
  <r>
    <x v="257"/>
    <x v="5"/>
    <x v="2"/>
    <x v="3"/>
    <x v="3"/>
    <n v="106604"/>
    <n v="33494"/>
    <n v="73110"/>
    <x v="294"/>
  </r>
  <r>
    <x v="257"/>
    <x v="5"/>
    <x v="2"/>
    <x v="3"/>
    <x v="3"/>
    <n v="97173"/>
    <n v="56693"/>
    <n v="40480"/>
    <x v="295"/>
  </r>
  <r>
    <x v="257"/>
    <x v="5"/>
    <x v="2"/>
    <x v="2"/>
    <x v="1"/>
    <n v="73085"/>
    <n v="49443"/>
    <n v="23642"/>
    <x v="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3AFB9-46F4-44F8-9027-A97EE2AA9675}" name="PivotTable9" cacheId="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C6" firstHeaderRow="0" firstDataRow="1" firstDataCol="1"/>
  <pivotFields count="9">
    <pivotField showAll="0"/>
    <pivotField showAll="0"/>
    <pivotField axis="axisRow" showAll="0">
      <items count="4">
        <item x="0"/>
        <item x="1"/>
        <item x="2"/>
        <item t="default"/>
      </items>
    </pivotField>
    <pivotField showAll="0"/>
    <pivotField showAll="0">
      <items count="5">
        <item x="3"/>
        <item x="0"/>
        <item x="2"/>
        <item x="1"/>
        <item t="default"/>
      </items>
    </pivotField>
    <pivotField dataField="1" showAll="0"/>
    <pivotField dataField="1" showAll="0"/>
    <pivotField showAll="0"/>
    <pivotField showAll="0"/>
  </pivotFields>
  <rowFields count="1">
    <field x="2"/>
  </rowFields>
  <rowItems count="3">
    <i>
      <x/>
    </i>
    <i>
      <x v="1"/>
    </i>
    <i>
      <x v="2"/>
    </i>
  </rowItems>
  <colFields count="1">
    <field x="-2"/>
  </colFields>
  <colItems count="2">
    <i>
      <x/>
    </i>
    <i i="1">
      <x v="1"/>
    </i>
  </colItems>
  <dataFields count="2">
    <dataField name="Sum of Revenue" fld="5" baseField="0" baseItem="0"/>
    <dataField name="Sum of Expenses" fld="6"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8DF05-0C75-4497-918A-9C7DF850D8C4}" name="PivotTable8" cacheId="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D16" firstHeaderRow="1" firstDataRow="2" firstDataCol="1"/>
  <pivotFields count="9">
    <pivotField showAll="0"/>
    <pivotField axis="axisRow" showAll="0">
      <items count="13">
        <item x="0"/>
        <item x="1"/>
        <item x="2"/>
        <item x="3"/>
        <item x="4"/>
        <item x="5"/>
        <item x="6"/>
        <item x="7"/>
        <item x="8"/>
        <item x="9"/>
        <item x="10"/>
        <item x="11"/>
        <item t="default"/>
      </items>
    </pivotField>
    <pivotField axis="axisCol" showAll="0">
      <items count="4">
        <item x="0"/>
        <item x="1"/>
        <item x="2"/>
        <item t="default"/>
      </items>
    </pivotField>
    <pivotField showAll="0"/>
    <pivotField showAll="0">
      <items count="5">
        <item x="3"/>
        <item x="0"/>
        <item x="2"/>
        <item x="1"/>
        <item t="default"/>
      </items>
    </pivotField>
    <pivotField dataField="1" showAll="0"/>
    <pivotField showAll="0"/>
    <pivotField showAll="0"/>
    <pivotField showAll="0"/>
  </pivotFields>
  <rowFields count="1">
    <field x="1"/>
  </rowFields>
  <rowItems count="12">
    <i>
      <x/>
    </i>
    <i>
      <x v="1"/>
    </i>
    <i>
      <x v="2"/>
    </i>
    <i>
      <x v="3"/>
    </i>
    <i>
      <x v="4"/>
    </i>
    <i>
      <x v="5"/>
    </i>
    <i>
      <x v="6"/>
    </i>
    <i>
      <x v="7"/>
    </i>
    <i>
      <x v="8"/>
    </i>
    <i>
      <x v="9"/>
    </i>
    <i>
      <x v="10"/>
    </i>
    <i>
      <x v="11"/>
    </i>
  </rowItems>
  <colFields count="1">
    <field x="2"/>
  </colFields>
  <colItems count="3">
    <i>
      <x/>
    </i>
    <i>
      <x v="1"/>
    </i>
    <i>
      <x v="2"/>
    </i>
  </colItems>
  <dataFields count="1">
    <dataField name="Sum of Revenue" fld="5" baseField="0" baseItem="0" numFmtId="1"/>
  </dataFields>
  <formats count="1">
    <format dxfId="0">
      <pivotArea outline="0" collapsedLevelsAreSubtotals="1" fieldPosition="0"/>
    </format>
  </formats>
  <chartFormats count="4">
    <chartFormat chart="23" format="6" series="1">
      <pivotArea type="data" outline="0" fieldPosition="0">
        <references count="2">
          <reference field="4294967294" count="1" selected="0">
            <x v="0"/>
          </reference>
          <reference field="2" count="1" selected="0">
            <x v="0"/>
          </reference>
        </references>
      </pivotArea>
    </chartFormat>
    <chartFormat chart="23" format="7" series="1">
      <pivotArea type="data" outline="0" fieldPosition="0">
        <references count="2">
          <reference field="4294967294" count="1" selected="0">
            <x v="0"/>
          </reference>
          <reference field="2" count="1" selected="0">
            <x v="1"/>
          </reference>
        </references>
      </pivotArea>
    </chartFormat>
    <chartFormat chart="23" format="8" series="1">
      <pivotArea type="data" outline="0" fieldPosition="0">
        <references count="2">
          <reference field="4294967294" count="1" selected="0">
            <x v="0"/>
          </reference>
          <reference field="2" count="1" selected="0">
            <x v="2"/>
          </reference>
        </references>
      </pivotArea>
    </chartFormat>
    <chartFormat chart="2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D19FC-8DAD-4BD9-9C9B-7687C02D13D9}" name="PivotTable12" cacheId="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3:B7" firstHeaderRow="1" firstDataRow="1" firstDataCol="1"/>
  <pivotFields count="9">
    <pivotField showAll="0"/>
    <pivotField showAll="0"/>
    <pivotField showAll="0">
      <items count="4">
        <item x="0"/>
        <item x="1"/>
        <item x="2"/>
        <item t="default"/>
      </items>
    </pivotField>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dataField="1" showAll="0"/>
    <pivotField showAll="0"/>
  </pivotFields>
  <rowFields count="1">
    <field x="3"/>
  </rowFields>
  <rowItems count="4">
    <i>
      <x v="2"/>
    </i>
    <i>
      <x v="3"/>
    </i>
    <i>
      <x v="1"/>
    </i>
    <i>
      <x/>
    </i>
  </rowItems>
  <colItems count="1">
    <i/>
  </colItems>
  <dataFields count="1">
    <dataField name="Sum of Profit" fld="7"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5C5AE3-D76E-4995-BB45-BBEF08B63197}" name="PivotTable13" cacheId="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B7" firstHeaderRow="1" firstDataRow="1" firstDataCol="1"/>
  <pivotFields count="9">
    <pivotField showAll="0"/>
    <pivotField showAll="0"/>
    <pivotField showAll="0">
      <items count="4">
        <item x="0"/>
        <item x="1"/>
        <item x="2"/>
        <item t="default"/>
      </items>
    </pivotField>
    <pivotField showAll="0"/>
    <pivotField axis="axisRow" showAll="0">
      <items count="5">
        <item x="3"/>
        <item x="0"/>
        <item x="2"/>
        <item x="1"/>
        <item t="default"/>
      </items>
    </pivotField>
    <pivotField showAll="0"/>
    <pivotField showAll="0"/>
    <pivotField dataField="1" showAll="0"/>
    <pivotField showAll="0"/>
  </pivotFields>
  <rowFields count="1">
    <field x="4"/>
  </rowFields>
  <rowItems count="4">
    <i>
      <x/>
    </i>
    <i>
      <x v="1"/>
    </i>
    <i>
      <x v="2"/>
    </i>
    <i>
      <x v="3"/>
    </i>
  </rowItems>
  <colItems count="1">
    <i/>
  </colItems>
  <dataFields count="1">
    <dataField name="Sum of Profit" fld="7"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C586E7-E827-4A89-B213-53BD6CE8E0FA}" name="PivotTable14" cacheId="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3:B15" firstHeaderRow="1" firstDataRow="1" firstDataCol="1"/>
  <pivotFields count="9">
    <pivotField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items count="5">
        <item x="3"/>
        <item x="0"/>
        <item x="2"/>
        <item x="1"/>
        <item t="default"/>
      </items>
    </pivotField>
    <pivotField showAll="0"/>
    <pivotField showAll="0"/>
    <pivotField dataField="1" showAll="0"/>
    <pivotField showAll="0"/>
  </pivotFields>
  <rowFields count="1">
    <field x="1"/>
  </rowFields>
  <rowItems count="12">
    <i>
      <x/>
    </i>
    <i>
      <x v="1"/>
    </i>
    <i>
      <x v="2"/>
    </i>
    <i>
      <x v="3"/>
    </i>
    <i>
      <x v="4"/>
    </i>
    <i>
      <x v="5"/>
    </i>
    <i>
      <x v="6"/>
    </i>
    <i>
      <x v="7"/>
    </i>
    <i>
      <x v="8"/>
    </i>
    <i>
      <x v="9"/>
    </i>
    <i>
      <x v="10"/>
    </i>
    <i>
      <x v="11"/>
    </i>
  </rowItems>
  <colItems count="1">
    <i/>
  </colItems>
  <dataFields count="1">
    <dataField name="Sum of Profit" fld="7" baseField="0" baseItem="0"/>
  </dataFields>
  <chartFormats count="6">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2"/>
          </reference>
        </references>
      </pivotArea>
    </chartFormat>
    <chartFormat chart="10" format="7" series="1">
      <pivotArea type="data" outline="0" fieldPosition="0">
        <references count="2">
          <reference field="4294967294" count="1" selected="0">
            <x v="0"/>
          </reference>
          <reference field="1" count="1" selected="0">
            <x v="3"/>
          </reference>
        </references>
      </pivotArea>
    </chartFormat>
    <chartFormat chart="10" format="8" series="1">
      <pivotArea type="data" outline="0" fieldPosition="0">
        <references count="2">
          <reference field="4294967294" count="1" selected="0">
            <x v="0"/>
          </reference>
          <reference field="1" count="1" selected="0">
            <x v="4"/>
          </reference>
        </references>
      </pivotArea>
    </chartFormat>
    <chartFormat chart="10" format="9"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56E476-21B3-4044-AD43-C2799374084F}" sourceName="Year">
  <pivotTables>
    <pivotTable tabId="5" name="PivotTable8"/>
    <pivotTable tabId="8" name="PivotTable13"/>
    <pivotTable tabId="7" name="PivotTable12"/>
    <pivotTable tabId="6" name="PivotTable9"/>
    <pivotTable tabId="9" name="PivotTable14"/>
  </pivotTables>
  <data>
    <tabular pivotCacheId="212271949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35DD5A6-9149-457C-9EC7-74817EA8AF66}" sourceName="Product_Category">
  <pivotTables>
    <pivotTable tabId="8" name="PivotTable13"/>
    <pivotTable tabId="9" name="PivotTable14"/>
    <pivotTable tabId="5" name="PivotTable8"/>
    <pivotTable tabId="7" name="PivotTable12"/>
    <pivotTable tabId="6" name="PivotTable9"/>
  </pivotTables>
  <data>
    <tabular pivotCacheId="212271949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DC46E61-6C96-4361-8105-657B52676D48}" cache="Slicer_Year" caption="Year" columnCount="3" style="SlicerStyleDark1" rowHeight="241300"/>
  <slicer name="Product_Category" xr10:uid="{A357FEEA-FAEF-4008-B363-B18353AF1A42}" cache="Slicer_Product_Category" caption="Product_Category" columnCount="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0F6867-C119-479D-AED4-579A6EB2836F}" name="financial_status" displayName="financial_status" ref="A1:I301" totalsRowShown="0">
  <autoFilter ref="A1:I301" xr:uid="{B60F6867-C119-479D-AED4-579A6EB2836F}"/>
  <tableColumns count="9">
    <tableColumn id="1" xr3:uid="{F5302DFB-643B-4FB9-A392-29176EACCE33}" name="Date"/>
    <tableColumn id="9" xr3:uid="{3CCFF249-77E0-47E5-8F98-6B0CF8AA629B}" name="Month" dataDxfId="1">
      <calculatedColumnFormula>MONTH(financial_status[[#This Row],[Date]])</calculatedColumnFormula>
    </tableColumn>
    <tableColumn id="8" xr3:uid="{57A165DF-04F5-4057-B06C-A8127FAE2529}" name="Year" dataDxfId="2">
      <calculatedColumnFormula>YEAR(financial_status[[#This Row],[Date]])</calculatedColumnFormula>
    </tableColumn>
    <tableColumn id="2" xr3:uid="{77F35B2C-368E-4478-B5A3-B449FDAB9552}" name="Region"/>
    <tableColumn id="3" xr3:uid="{725A3C9D-B192-42C8-8633-345E251D418A}" name="Product_Category"/>
    <tableColumn id="4" xr3:uid="{548CF255-FA07-418A-ABDF-7FC9A4B28341}" name="Revenue"/>
    <tableColumn id="5" xr3:uid="{304BD2CA-0BFD-4DC2-BD60-3DF206D126BA}" name="Expenses"/>
    <tableColumn id="6" xr3:uid="{315377A2-3457-47C0-A34B-E2E84F026184}" name="Profit"/>
    <tableColumn id="7" xr3:uid="{6306279B-5E41-408E-BBBC-173760075530}" name="Marketing_Spend"/>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8156C-8E42-44EB-B4D9-0E7448856E95}">
  <dimension ref="A3:C6"/>
  <sheetViews>
    <sheetView zoomScale="86" zoomScaleNormal="86" workbookViewId="0">
      <selection activeCell="L23" sqref="L23"/>
    </sheetView>
  </sheetViews>
  <sheetFormatPr defaultRowHeight="14" x14ac:dyDescent="0.3"/>
  <cols>
    <col min="1" max="1" width="12.08203125" bestFit="1" customWidth="1"/>
    <col min="2" max="2" width="13.5" bestFit="1" customWidth="1"/>
    <col min="3" max="3" width="13.9140625" bestFit="1" customWidth="1"/>
  </cols>
  <sheetData>
    <row r="3" spans="1:3" x14ac:dyDescent="0.3">
      <c r="A3" s="1" t="s">
        <v>273</v>
      </c>
      <c r="B3" t="s">
        <v>274</v>
      </c>
      <c r="C3" t="s">
        <v>278</v>
      </c>
    </row>
    <row r="4" spans="1:3" x14ac:dyDescent="0.3">
      <c r="A4" s="2">
        <v>2022</v>
      </c>
      <c r="B4" s="3">
        <v>9535334</v>
      </c>
      <c r="C4" s="3">
        <v>6948272</v>
      </c>
    </row>
    <row r="5" spans="1:3" x14ac:dyDescent="0.3">
      <c r="A5" s="2">
        <v>2023</v>
      </c>
      <c r="B5" s="3">
        <v>8801812</v>
      </c>
      <c r="C5" s="3">
        <v>5858741</v>
      </c>
    </row>
    <row r="6" spans="1:3" x14ac:dyDescent="0.3">
      <c r="A6" s="2">
        <v>2024</v>
      </c>
      <c r="B6" s="3">
        <v>2947691</v>
      </c>
      <c r="C6" s="3">
        <v>2274236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E535-CAA1-4C47-97F2-B482B8C228BC}">
  <dimension ref="A3:D16"/>
  <sheetViews>
    <sheetView topLeftCell="B1" zoomScale="68" zoomScaleNormal="68" workbookViewId="0">
      <selection activeCell="S12" sqref="S12"/>
    </sheetView>
  </sheetViews>
  <sheetFormatPr defaultRowHeight="14" x14ac:dyDescent="0.3"/>
  <cols>
    <col min="1" max="1" width="13.5" bestFit="1" customWidth="1"/>
    <col min="2" max="2" width="15.1640625" bestFit="1" customWidth="1"/>
    <col min="3" max="3" width="7.75" bestFit="1" customWidth="1"/>
    <col min="4" max="4" width="6.75" customWidth="1"/>
    <col min="5" max="5" width="10.6640625" customWidth="1"/>
  </cols>
  <sheetData>
    <row r="3" spans="1:4" x14ac:dyDescent="0.3">
      <c r="A3" s="1" t="s">
        <v>274</v>
      </c>
      <c r="B3" s="1" t="s">
        <v>277</v>
      </c>
    </row>
    <row r="4" spans="1:4" x14ac:dyDescent="0.3">
      <c r="A4" s="1" t="s">
        <v>273</v>
      </c>
      <c r="B4">
        <v>2022</v>
      </c>
      <c r="C4">
        <v>2023</v>
      </c>
      <c r="D4">
        <v>2024</v>
      </c>
    </row>
    <row r="5" spans="1:4" x14ac:dyDescent="0.3">
      <c r="A5" s="2">
        <v>1</v>
      </c>
      <c r="B5" s="4">
        <v>930100</v>
      </c>
      <c r="C5" s="4">
        <v>698629</v>
      </c>
      <c r="D5" s="4">
        <v>806098</v>
      </c>
    </row>
    <row r="6" spans="1:4" x14ac:dyDescent="0.3">
      <c r="A6" s="2">
        <v>2</v>
      </c>
      <c r="B6" s="4">
        <v>629489</v>
      </c>
      <c r="C6" s="4">
        <v>612101</v>
      </c>
      <c r="D6" s="4">
        <v>383087</v>
      </c>
    </row>
    <row r="7" spans="1:4" x14ac:dyDescent="0.3">
      <c r="A7" s="2">
        <v>3</v>
      </c>
      <c r="B7" s="4">
        <v>937568</v>
      </c>
      <c r="C7" s="4">
        <v>624724</v>
      </c>
      <c r="D7" s="4">
        <v>403065</v>
      </c>
    </row>
    <row r="8" spans="1:4" x14ac:dyDescent="0.3">
      <c r="A8" s="2">
        <v>4</v>
      </c>
      <c r="B8" s="4">
        <v>542818</v>
      </c>
      <c r="C8" s="4">
        <v>521274</v>
      </c>
      <c r="D8" s="4">
        <v>246868</v>
      </c>
    </row>
    <row r="9" spans="1:4" x14ac:dyDescent="0.3">
      <c r="A9" s="2">
        <v>5</v>
      </c>
      <c r="B9" s="4">
        <v>562898</v>
      </c>
      <c r="C9" s="4">
        <v>512259</v>
      </c>
      <c r="D9" s="4">
        <v>378822</v>
      </c>
    </row>
    <row r="10" spans="1:4" x14ac:dyDescent="0.3">
      <c r="A10" s="2">
        <v>6</v>
      </c>
      <c r="B10" s="4">
        <v>858094</v>
      </c>
      <c r="C10" s="4">
        <v>1149929</v>
      </c>
      <c r="D10" s="4">
        <v>729751</v>
      </c>
    </row>
    <row r="11" spans="1:4" x14ac:dyDescent="0.3">
      <c r="A11" s="2">
        <v>7</v>
      </c>
      <c r="B11" s="4">
        <v>686001</v>
      </c>
      <c r="C11" s="4">
        <v>510790</v>
      </c>
      <c r="D11" s="4"/>
    </row>
    <row r="12" spans="1:4" x14ac:dyDescent="0.3">
      <c r="A12" s="2">
        <v>8</v>
      </c>
      <c r="B12" s="4">
        <v>1039672</v>
      </c>
      <c r="C12" s="4">
        <v>757924</v>
      </c>
      <c r="D12" s="4"/>
    </row>
    <row r="13" spans="1:4" x14ac:dyDescent="0.3">
      <c r="A13" s="2">
        <v>9</v>
      </c>
      <c r="B13" s="4">
        <v>683125</v>
      </c>
      <c r="C13" s="4">
        <v>981416</v>
      </c>
      <c r="D13" s="4"/>
    </row>
    <row r="14" spans="1:4" x14ac:dyDescent="0.3">
      <c r="A14" s="2">
        <v>10</v>
      </c>
      <c r="B14" s="4">
        <v>1222624</v>
      </c>
      <c r="C14" s="4">
        <v>922174</v>
      </c>
      <c r="D14" s="4"/>
    </row>
    <row r="15" spans="1:4" x14ac:dyDescent="0.3">
      <c r="A15" s="2">
        <v>11</v>
      </c>
      <c r="B15" s="4">
        <v>787310</v>
      </c>
      <c r="C15" s="4">
        <v>817473</v>
      </c>
      <c r="D15" s="4"/>
    </row>
    <row r="16" spans="1:4" x14ac:dyDescent="0.3">
      <c r="A16" s="2">
        <v>12</v>
      </c>
      <c r="B16" s="4">
        <v>655635</v>
      </c>
      <c r="C16" s="4">
        <v>693119</v>
      </c>
      <c r="D1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B985C-BAC8-41B9-B1A5-C28067A41A2C}">
  <dimension ref="A3:B7"/>
  <sheetViews>
    <sheetView workbookViewId="0">
      <selection activeCell="P10" sqref="P10"/>
    </sheetView>
  </sheetViews>
  <sheetFormatPr defaultRowHeight="14" x14ac:dyDescent="0.3"/>
  <cols>
    <col min="1" max="1" width="11.75" bestFit="1" customWidth="1"/>
    <col min="2" max="2" width="10.75" bestFit="1" customWidth="1"/>
    <col min="3" max="3" width="7.75" customWidth="1"/>
    <col min="4" max="4" width="6.25" bestFit="1" customWidth="1"/>
    <col min="5" max="5" width="9.83203125" bestFit="1" customWidth="1"/>
  </cols>
  <sheetData>
    <row r="3" spans="1:2" x14ac:dyDescent="0.3">
      <c r="A3" s="1" t="s">
        <v>273</v>
      </c>
      <c r="B3" t="s">
        <v>279</v>
      </c>
    </row>
    <row r="4" spans="1:2" x14ac:dyDescent="0.3">
      <c r="A4" s="2" t="s">
        <v>21</v>
      </c>
      <c r="B4" s="3">
        <v>754481</v>
      </c>
    </row>
    <row r="5" spans="1:2" x14ac:dyDescent="0.3">
      <c r="A5" s="2" t="s">
        <v>11</v>
      </c>
      <c r="B5" s="3">
        <v>1431557</v>
      </c>
    </row>
    <row r="6" spans="1:2" x14ac:dyDescent="0.3">
      <c r="A6" s="2" t="s">
        <v>15</v>
      </c>
      <c r="B6" s="3">
        <v>1709241</v>
      </c>
    </row>
    <row r="7" spans="1:2" x14ac:dyDescent="0.3">
      <c r="A7" s="2" t="s">
        <v>8</v>
      </c>
      <c r="B7" s="3">
        <v>2308309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13DD-9CF1-417E-A5DC-0E5360D17122}">
  <dimension ref="A3:B7"/>
  <sheetViews>
    <sheetView workbookViewId="0">
      <selection activeCell="A4" sqref="A4"/>
    </sheetView>
  </sheetViews>
  <sheetFormatPr defaultRowHeight="14" x14ac:dyDescent="0.3"/>
  <cols>
    <col min="1" max="1" width="11.9140625" bestFit="1" customWidth="1"/>
    <col min="2" max="2" width="10.75" bestFit="1" customWidth="1"/>
    <col min="3" max="3" width="7.75" customWidth="1"/>
    <col min="4" max="4" width="6.25" bestFit="1" customWidth="1"/>
    <col min="5" max="6" width="9.83203125" bestFit="1" customWidth="1"/>
  </cols>
  <sheetData>
    <row r="3" spans="1:2" x14ac:dyDescent="0.3">
      <c r="A3" s="1" t="s">
        <v>273</v>
      </c>
      <c r="B3" t="s">
        <v>279</v>
      </c>
    </row>
    <row r="4" spans="1:2" x14ac:dyDescent="0.3">
      <c r="A4" s="2" t="s">
        <v>9</v>
      </c>
      <c r="B4" s="3">
        <v>1221392</v>
      </c>
    </row>
    <row r="5" spans="1:2" x14ac:dyDescent="0.3">
      <c r="A5" s="2" t="s">
        <v>12</v>
      </c>
      <c r="B5" s="3">
        <v>1468890</v>
      </c>
    </row>
    <row r="6" spans="1:2" x14ac:dyDescent="0.3">
      <c r="A6" s="2" t="s">
        <v>23</v>
      </c>
      <c r="B6" s="3">
        <v>1918929</v>
      </c>
    </row>
    <row r="7" spans="1:2" x14ac:dyDescent="0.3">
      <c r="A7" s="2" t="s">
        <v>19</v>
      </c>
      <c r="B7" s="3">
        <v>1594377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5179-825B-401E-A11C-2EA6964EB5F1}">
  <dimension ref="C3:D15"/>
  <sheetViews>
    <sheetView workbookViewId="0">
      <selection activeCell="C6" sqref="C6:D6"/>
    </sheetView>
  </sheetViews>
  <sheetFormatPr defaultRowHeight="14" x14ac:dyDescent="0.3"/>
  <cols>
    <col min="3" max="3" width="25.6640625" customWidth="1"/>
    <col min="4" max="4" width="35.4140625" customWidth="1"/>
  </cols>
  <sheetData>
    <row r="3" spans="3:4" ht="27.5" x14ac:dyDescent="0.55000000000000004">
      <c r="C3" s="9" t="s">
        <v>284</v>
      </c>
      <c r="D3" s="9"/>
    </row>
    <row r="4" spans="3:4" ht="27.5" x14ac:dyDescent="0.55000000000000004">
      <c r="C4" s="7" t="s">
        <v>280</v>
      </c>
      <c r="D4" s="11">
        <f>SUM(financial_status[Revenue])</f>
        <v>21284837</v>
      </c>
    </row>
    <row r="5" spans="3:4" ht="27.5" x14ac:dyDescent="0.55000000000000004">
      <c r="C5" s="7" t="s">
        <v>281</v>
      </c>
      <c r="D5" s="11">
        <f>SUM(financial_status[Profit])</f>
        <v>6203588</v>
      </c>
    </row>
    <row r="6" spans="3:4" ht="27.5" x14ac:dyDescent="0.55000000000000004">
      <c r="C6" s="7" t="s">
        <v>282</v>
      </c>
      <c r="D6" s="11">
        <f>SUM(financial_status[Expenses])</f>
        <v>15081249</v>
      </c>
    </row>
    <row r="7" spans="3:4" ht="27.5" x14ac:dyDescent="0.55000000000000004">
      <c r="C7" s="7" t="s">
        <v>283</v>
      </c>
      <c r="D7" s="8">
        <f>D5/D4</f>
        <v>0.29145574382364309</v>
      </c>
    </row>
    <row r="15" spans="3:4" x14ac:dyDescent="0.3">
      <c r="C15" s="10"/>
      <c r="D15" s="10"/>
    </row>
  </sheetData>
  <mergeCells count="1">
    <mergeCell ref="C3:D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47BC-A444-4AC4-96C8-929A36B7EBEF}">
  <dimension ref="A3:B15"/>
  <sheetViews>
    <sheetView workbookViewId="0">
      <selection activeCell="A4" sqref="A4"/>
    </sheetView>
  </sheetViews>
  <sheetFormatPr defaultRowHeight="14" x14ac:dyDescent="0.3"/>
  <cols>
    <col min="1" max="1" width="11.75" bestFit="1" customWidth="1"/>
    <col min="2" max="2" width="10.75" bestFit="1" customWidth="1"/>
    <col min="3" max="5" width="5.75" customWidth="1"/>
    <col min="6" max="7" width="6.4140625" customWidth="1"/>
    <col min="8" max="8" width="10.6640625" customWidth="1"/>
  </cols>
  <sheetData>
    <row r="3" spans="1:2" x14ac:dyDescent="0.3">
      <c r="A3" s="1" t="s">
        <v>273</v>
      </c>
      <c r="B3" t="s">
        <v>279</v>
      </c>
    </row>
    <row r="4" spans="1:2" x14ac:dyDescent="0.3">
      <c r="A4" s="2">
        <v>1</v>
      </c>
      <c r="B4" s="3">
        <v>520505</v>
      </c>
    </row>
    <row r="5" spans="1:2" x14ac:dyDescent="0.3">
      <c r="A5" s="2">
        <v>2</v>
      </c>
      <c r="B5" s="3">
        <v>277303</v>
      </c>
    </row>
    <row r="6" spans="1:2" x14ac:dyDescent="0.3">
      <c r="A6" s="2">
        <v>3</v>
      </c>
      <c r="B6" s="3">
        <v>404895</v>
      </c>
    </row>
    <row r="7" spans="1:2" x14ac:dyDescent="0.3">
      <c r="A7" s="2">
        <v>4</v>
      </c>
      <c r="B7" s="3">
        <v>417549</v>
      </c>
    </row>
    <row r="8" spans="1:2" x14ac:dyDescent="0.3">
      <c r="A8" s="2">
        <v>5</v>
      </c>
      <c r="B8" s="3">
        <v>333745</v>
      </c>
    </row>
    <row r="9" spans="1:2" x14ac:dyDescent="0.3">
      <c r="A9" s="2">
        <v>6</v>
      </c>
      <c r="B9" s="3">
        <v>720423</v>
      </c>
    </row>
    <row r="10" spans="1:2" x14ac:dyDescent="0.3">
      <c r="A10" s="2">
        <v>7</v>
      </c>
      <c r="B10" s="3">
        <v>372125</v>
      </c>
    </row>
    <row r="11" spans="1:2" x14ac:dyDescent="0.3">
      <c r="A11" s="2">
        <v>8</v>
      </c>
      <c r="B11" s="3">
        <v>854460</v>
      </c>
    </row>
    <row r="12" spans="1:2" x14ac:dyDescent="0.3">
      <c r="A12" s="2">
        <v>9</v>
      </c>
      <c r="B12" s="3">
        <v>643735</v>
      </c>
    </row>
    <row r="13" spans="1:2" x14ac:dyDescent="0.3">
      <c r="A13" s="2">
        <v>10</v>
      </c>
      <c r="B13" s="3">
        <v>773078</v>
      </c>
    </row>
    <row r="14" spans="1:2" x14ac:dyDescent="0.3">
      <c r="A14" s="2">
        <v>11</v>
      </c>
      <c r="B14" s="3">
        <v>561707</v>
      </c>
    </row>
    <row r="15" spans="1:2" x14ac:dyDescent="0.3">
      <c r="A15" s="2">
        <v>12</v>
      </c>
      <c r="B15" s="3">
        <v>324063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opLeftCell="A2" workbookViewId="0">
      <selection activeCell="F11" sqref="F11"/>
    </sheetView>
  </sheetViews>
  <sheetFormatPr defaultRowHeight="14" x14ac:dyDescent="0.3"/>
  <cols>
    <col min="1" max="1" width="10" customWidth="1"/>
    <col min="3" max="3" width="17.9140625" customWidth="1"/>
    <col min="4" max="4" width="9.9140625" customWidth="1"/>
    <col min="5" max="5" width="10.5" customWidth="1"/>
    <col min="7" max="7" width="17.58203125" customWidth="1"/>
    <col min="12" max="12" width="25.6640625" customWidth="1"/>
    <col min="13" max="13" width="17.5" customWidth="1"/>
  </cols>
  <sheetData>
    <row r="1" spans="1:13" x14ac:dyDescent="0.3">
      <c r="A1" t="s">
        <v>0</v>
      </c>
      <c r="B1" t="s">
        <v>275</v>
      </c>
      <c r="C1" t="s">
        <v>276</v>
      </c>
      <c r="D1" t="s">
        <v>1</v>
      </c>
      <c r="E1" t="s">
        <v>2</v>
      </c>
      <c r="F1" t="s">
        <v>3</v>
      </c>
      <c r="G1" t="s">
        <v>4</v>
      </c>
      <c r="H1" t="s">
        <v>5</v>
      </c>
      <c r="I1" t="s">
        <v>6</v>
      </c>
    </row>
    <row r="2" spans="1:13" x14ac:dyDescent="0.3">
      <c r="A2" t="s">
        <v>262</v>
      </c>
      <c r="B2">
        <f>MONTH(financial_status[[#This Row],[Date]])</f>
        <v>1</v>
      </c>
      <c r="C2">
        <f>YEAR(financial_status[[#This Row],[Date]])</f>
        <v>2022</v>
      </c>
      <c r="D2" t="s">
        <v>8</v>
      </c>
      <c r="E2" t="s">
        <v>12</v>
      </c>
      <c r="F2">
        <v>53621</v>
      </c>
      <c r="G2">
        <v>50468</v>
      </c>
      <c r="H2">
        <v>3153</v>
      </c>
      <c r="I2">
        <v>5505</v>
      </c>
    </row>
    <row r="3" spans="1:13" x14ac:dyDescent="0.3">
      <c r="A3" t="s">
        <v>10</v>
      </c>
      <c r="B3">
        <f>MONTH(financial_status[[#This Row],[Date]])</f>
        <v>1</v>
      </c>
      <c r="C3">
        <f>YEAR(financial_status[[#This Row],[Date]])</f>
        <v>2022</v>
      </c>
      <c r="D3" t="s">
        <v>11</v>
      </c>
      <c r="E3" t="s">
        <v>12</v>
      </c>
      <c r="F3">
        <v>36471</v>
      </c>
      <c r="G3">
        <v>20716</v>
      </c>
      <c r="H3">
        <v>15755</v>
      </c>
      <c r="I3">
        <v>3696</v>
      </c>
    </row>
    <row r="4" spans="1:13" ht="27.5" x14ac:dyDescent="0.55000000000000004">
      <c r="A4" t="s">
        <v>33</v>
      </c>
      <c r="B4">
        <f>MONTH(financial_status[[#This Row],[Date]])</f>
        <v>1</v>
      </c>
      <c r="C4">
        <f>YEAR(financial_status[[#This Row],[Date]])</f>
        <v>2022</v>
      </c>
      <c r="D4" t="s">
        <v>11</v>
      </c>
      <c r="E4" t="s">
        <v>19</v>
      </c>
      <c r="F4">
        <v>44380</v>
      </c>
      <c r="G4">
        <v>12965</v>
      </c>
      <c r="H4">
        <v>31415</v>
      </c>
      <c r="I4">
        <v>7325</v>
      </c>
      <c r="L4" s="5" t="s">
        <v>280</v>
      </c>
      <c r="M4" s="5">
        <f>SUM(financial_status[Revenue])</f>
        <v>21284837</v>
      </c>
    </row>
    <row r="5" spans="1:13" ht="27.5" x14ac:dyDescent="0.55000000000000004">
      <c r="A5" t="s">
        <v>172</v>
      </c>
      <c r="B5">
        <f>MONTH(financial_status[[#This Row],[Date]])</f>
        <v>1</v>
      </c>
      <c r="C5">
        <f>YEAR(financial_status[[#This Row],[Date]])</f>
        <v>2022</v>
      </c>
      <c r="D5" t="s">
        <v>15</v>
      </c>
      <c r="E5" t="s">
        <v>23</v>
      </c>
      <c r="F5">
        <v>76076</v>
      </c>
      <c r="G5">
        <v>52208</v>
      </c>
      <c r="H5">
        <v>23868</v>
      </c>
      <c r="I5">
        <v>4315</v>
      </c>
      <c r="L5" s="5" t="s">
        <v>281</v>
      </c>
      <c r="M5" s="5">
        <f>SUM(financial_status[Profit])</f>
        <v>6203588</v>
      </c>
    </row>
    <row r="6" spans="1:13" ht="27.5" x14ac:dyDescent="0.55000000000000004">
      <c r="A6" t="s">
        <v>172</v>
      </c>
      <c r="B6">
        <f>MONTH(financial_status[[#This Row],[Date]])</f>
        <v>1</v>
      </c>
      <c r="C6">
        <f>YEAR(financial_status[[#This Row],[Date]])</f>
        <v>2022</v>
      </c>
      <c r="D6" t="s">
        <v>15</v>
      </c>
      <c r="E6" t="s">
        <v>9</v>
      </c>
      <c r="F6">
        <v>94078</v>
      </c>
      <c r="G6">
        <v>44719</v>
      </c>
      <c r="H6">
        <v>49359</v>
      </c>
      <c r="I6">
        <v>10831</v>
      </c>
      <c r="L6" s="5" t="s">
        <v>282</v>
      </c>
      <c r="M6" s="5">
        <f>SUM(financial_status[Expenses])</f>
        <v>15081249</v>
      </c>
    </row>
    <row r="7" spans="1:13" ht="27.5" x14ac:dyDescent="0.55000000000000004">
      <c r="A7" t="s">
        <v>181</v>
      </c>
      <c r="B7">
        <f>MONTH(financial_status[[#This Row],[Date]])</f>
        <v>1</v>
      </c>
      <c r="C7">
        <f>YEAR(financial_status[[#This Row],[Date]])</f>
        <v>2022</v>
      </c>
      <c r="D7" t="s">
        <v>8</v>
      </c>
      <c r="E7" t="s">
        <v>23</v>
      </c>
      <c r="F7">
        <v>87500</v>
      </c>
      <c r="G7">
        <v>63512</v>
      </c>
      <c r="H7">
        <v>23988</v>
      </c>
      <c r="I7">
        <v>14738</v>
      </c>
      <c r="L7" s="5" t="s">
        <v>283</v>
      </c>
      <c r="M7" s="6">
        <f>M5/M4</f>
        <v>0.29145574382364309</v>
      </c>
    </row>
    <row r="8" spans="1:13" x14ac:dyDescent="0.3">
      <c r="A8" t="s">
        <v>198</v>
      </c>
      <c r="B8">
        <f>MONTH(financial_status[[#This Row],[Date]])</f>
        <v>1</v>
      </c>
      <c r="C8">
        <f>YEAR(financial_status[[#This Row],[Date]])</f>
        <v>2022</v>
      </c>
      <c r="D8" t="s">
        <v>8</v>
      </c>
      <c r="E8" t="s">
        <v>19</v>
      </c>
      <c r="F8">
        <v>106681</v>
      </c>
      <c r="G8">
        <v>37440</v>
      </c>
      <c r="H8">
        <v>69241</v>
      </c>
      <c r="I8">
        <v>12658</v>
      </c>
    </row>
    <row r="9" spans="1:13" x14ac:dyDescent="0.3">
      <c r="A9" t="s">
        <v>108</v>
      </c>
      <c r="B9">
        <f>MONTH(financial_status[[#This Row],[Date]])</f>
        <v>1</v>
      </c>
      <c r="C9">
        <f>YEAR(financial_status[[#This Row],[Date]])</f>
        <v>2022</v>
      </c>
      <c r="D9" t="s">
        <v>8</v>
      </c>
      <c r="E9" t="s">
        <v>23</v>
      </c>
      <c r="F9">
        <v>34797</v>
      </c>
      <c r="G9">
        <v>88431</v>
      </c>
      <c r="H9">
        <v>-53634</v>
      </c>
      <c r="I9">
        <v>13296</v>
      </c>
    </row>
    <row r="10" spans="1:13" x14ac:dyDescent="0.3">
      <c r="A10" t="s">
        <v>108</v>
      </c>
      <c r="B10">
        <f>MONTH(financial_status[[#This Row],[Date]])</f>
        <v>1</v>
      </c>
      <c r="C10">
        <f>YEAR(financial_status[[#This Row],[Date]])</f>
        <v>2022</v>
      </c>
      <c r="D10" t="s">
        <v>8</v>
      </c>
      <c r="E10" t="s">
        <v>19</v>
      </c>
      <c r="F10">
        <v>71243</v>
      </c>
      <c r="G10">
        <v>84193</v>
      </c>
      <c r="H10">
        <v>-12950</v>
      </c>
      <c r="I10">
        <v>3225</v>
      </c>
    </row>
    <row r="11" spans="1:13" x14ac:dyDescent="0.3">
      <c r="A11" t="s">
        <v>122</v>
      </c>
      <c r="B11">
        <f>MONTH(financial_status[[#This Row],[Date]])</f>
        <v>1</v>
      </c>
      <c r="C11">
        <f>YEAR(financial_status[[#This Row],[Date]])</f>
        <v>2022</v>
      </c>
      <c r="D11" t="s">
        <v>11</v>
      </c>
      <c r="E11" t="s">
        <v>19</v>
      </c>
      <c r="F11">
        <v>107869</v>
      </c>
      <c r="G11">
        <v>59719</v>
      </c>
      <c r="H11">
        <v>48150</v>
      </c>
      <c r="I11">
        <v>16250</v>
      </c>
    </row>
    <row r="12" spans="1:13" x14ac:dyDescent="0.3">
      <c r="A12" t="s">
        <v>46</v>
      </c>
      <c r="B12">
        <f>MONTH(financial_status[[#This Row],[Date]])</f>
        <v>1</v>
      </c>
      <c r="C12">
        <f>YEAR(financial_status[[#This Row],[Date]])</f>
        <v>2022</v>
      </c>
      <c r="D12" t="s">
        <v>21</v>
      </c>
      <c r="E12" t="s">
        <v>19</v>
      </c>
      <c r="F12">
        <v>113543</v>
      </c>
      <c r="G12">
        <v>22701</v>
      </c>
      <c r="H12">
        <v>90842</v>
      </c>
      <c r="I12">
        <v>7776</v>
      </c>
    </row>
    <row r="13" spans="1:13" x14ac:dyDescent="0.3">
      <c r="A13" t="s">
        <v>137</v>
      </c>
      <c r="B13">
        <f>MONTH(financial_status[[#This Row],[Date]])</f>
        <v>1</v>
      </c>
      <c r="C13">
        <f>YEAR(financial_status[[#This Row],[Date]])</f>
        <v>2022</v>
      </c>
      <c r="D13" t="s">
        <v>8</v>
      </c>
      <c r="E13" t="s">
        <v>12</v>
      </c>
      <c r="F13">
        <v>36363</v>
      </c>
      <c r="G13">
        <v>44251</v>
      </c>
      <c r="H13">
        <v>-7888</v>
      </c>
      <c r="I13">
        <v>6031</v>
      </c>
    </row>
    <row r="14" spans="1:13" x14ac:dyDescent="0.3">
      <c r="A14" t="s">
        <v>137</v>
      </c>
      <c r="B14">
        <f>MONTH(financial_status[[#This Row],[Date]])</f>
        <v>1</v>
      </c>
      <c r="C14">
        <f>YEAR(financial_status[[#This Row],[Date]])</f>
        <v>2022</v>
      </c>
      <c r="D14" t="s">
        <v>15</v>
      </c>
      <c r="E14" t="s">
        <v>19</v>
      </c>
      <c r="F14">
        <v>39308</v>
      </c>
      <c r="G14">
        <v>72836</v>
      </c>
      <c r="H14">
        <v>-33528</v>
      </c>
      <c r="I14">
        <v>13789</v>
      </c>
    </row>
    <row r="15" spans="1:13" x14ac:dyDescent="0.3">
      <c r="A15" t="s">
        <v>45</v>
      </c>
      <c r="B15">
        <f>MONTH(financial_status[[#This Row],[Date]])</f>
        <v>1</v>
      </c>
      <c r="C15">
        <f>YEAR(financial_status[[#This Row],[Date]])</f>
        <v>2022</v>
      </c>
      <c r="D15" t="s">
        <v>15</v>
      </c>
      <c r="E15" t="s">
        <v>23</v>
      </c>
      <c r="F15">
        <v>28170</v>
      </c>
      <c r="G15">
        <v>79689</v>
      </c>
      <c r="H15">
        <v>-51519</v>
      </c>
      <c r="I15">
        <v>14105</v>
      </c>
    </row>
    <row r="16" spans="1:13" x14ac:dyDescent="0.3">
      <c r="A16" t="s">
        <v>236</v>
      </c>
      <c r="B16">
        <f>MONTH(financial_status[[#This Row],[Date]])</f>
        <v>2</v>
      </c>
      <c r="C16">
        <f>YEAR(financial_status[[#This Row],[Date]])</f>
        <v>2022</v>
      </c>
      <c r="D16" t="s">
        <v>8</v>
      </c>
      <c r="E16" t="s">
        <v>12</v>
      </c>
      <c r="F16">
        <v>47286</v>
      </c>
      <c r="G16">
        <v>80088</v>
      </c>
      <c r="H16">
        <v>-32802</v>
      </c>
      <c r="I16">
        <v>10156</v>
      </c>
    </row>
    <row r="17" spans="1:9" x14ac:dyDescent="0.3">
      <c r="A17" t="s">
        <v>128</v>
      </c>
      <c r="B17">
        <f>MONTH(financial_status[[#This Row],[Date]])</f>
        <v>2</v>
      </c>
      <c r="C17">
        <f>YEAR(financial_status[[#This Row],[Date]])</f>
        <v>2022</v>
      </c>
      <c r="D17" t="s">
        <v>15</v>
      </c>
      <c r="E17" t="s">
        <v>12</v>
      </c>
      <c r="F17">
        <v>80108</v>
      </c>
      <c r="G17">
        <v>32800</v>
      </c>
      <c r="H17">
        <v>47308</v>
      </c>
      <c r="I17">
        <v>8554</v>
      </c>
    </row>
    <row r="18" spans="1:9" x14ac:dyDescent="0.3">
      <c r="A18" t="s">
        <v>265</v>
      </c>
      <c r="B18">
        <f>MONTH(financial_status[[#This Row],[Date]])</f>
        <v>2</v>
      </c>
      <c r="C18">
        <f>YEAR(financial_status[[#This Row],[Date]])</f>
        <v>2022</v>
      </c>
      <c r="D18" t="s">
        <v>15</v>
      </c>
      <c r="E18" t="s">
        <v>19</v>
      </c>
      <c r="F18">
        <v>92938</v>
      </c>
      <c r="G18">
        <v>81572</v>
      </c>
      <c r="H18">
        <v>11366</v>
      </c>
      <c r="I18">
        <v>18265</v>
      </c>
    </row>
    <row r="19" spans="1:9" x14ac:dyDescent="0.3">
      <c r="A19" t="s">
        <v>117</v>
      </c>
      <c r="B19">
        <f>MONTH(financial_status[[#This Row],[Date]])</f>
        <v>2</v>
      </c>
      <c r="C19">
        <f>YEAR(financial_status[[#This Row],[Date]])</f>
        <v>2022</v>
      </c>
      <c r="D19" t="s">
        <v>15</v>
      </c>
      <c r="E19" t="s">
        <v>12</v>
      </c>
      <c r="F19">
        <v>75600</v>
      </c>
      <c r="G19">
        <v>70498</v>
      </c>
      <c r="H19">
        <v>5102</v>
      </c>
      <c r="I19">
        <v>5986</v>
      </c>
    </row>
    <row r="20" spans="1:9" x14ac:dyDescent="0.3">
      <c r="A20" t="s">
        <v>220</v>
      </c>
      <c r="B20">
        <f>MONTH(financial_status[[#This Row],[Date]])</f>
        <v>2</v>
      </c>
      <c r="C20">
        <f>YEAR(financial_status[[#This Row],[Date]])</f>
        <v>2022</v>
      </c>
      <c r="D20" t="s">
        <v>8</v>
      </c>
      <c r="E20" t="s">
        <v>12</v>
      </c>
      <c r="F20">
        <v>41895</v>
      </c>
      <c r="G20">
        <v>67032</v>
      </c>
      <c r="H20">
        <v>-25137</v>
      </c>
      <c r="I20">
        <v>6523</v>
      </c>
    </row>
    <row r="21" spans="1:9" x14ac:dyDescent="0.3">
      <c r="A21" t="s">
        <v>77</v>
      </c>
      <c r="B21">
        <f>MONTH(financial_status[[#This Row],[Date]])</f>
        <v>2</v>
      </c>
      <c r="C21">
        <f>YEAR(financial_status[[#This Row],[Date]])</f>
        <v>2022</v>
      </c>
      <c r="D21" t="s">
        <v>11</v>
      </c>
      <c r="E21" t="s">
        <v>23</v>
      </c>
      <c r="F21">
        <v>53199</v>
      </c>
      <c r="G21">
        <v>51650</v>
      </c>
      <c r="H21">
        <v>1549</v>
      </c>
      <c r="I21">
        <v>16152</v>
      </c>
    </row>
    <row r="22" spans="1:9" x14ac:dyDescent="0.3">
      <c r="A22" t="s">
        <v>77</v>
      </c>
      <c r="B22">
        <f>MONTH(financial_status[[#This Row],[Date]])</f>
        <v>2</v>
      </c>
      <c r="C22">
        <f>YEAR(financial_status[[#This Row],[Date]])</f>
        <v>2022</v>
      </c>
      <c r="D22" t="s">
        <v>11</v>
      </c>
      <c r="E22" t="s">
        <v>23</v>
      </c>
      <c r="F22">
        <v>51376</v>
      </c>
      <c r="G22">
        <v>10560</v>
      </c>
      <c r="H22">
        <v>40816</v>
      </c>
      <c r="I22">
        <v>18708</v>
      </c>
    </row>
    <row r="23" spans="1:9" x14ac:dyDescent="0.3">
      <c r="A23" t="s">
        <v>143</v>
      </c>
      <c r="B23">
        <f>MONTH(financial_status[[#This Row],[Date]])</f>
        <v>2</v>
      </c>
      <c r="C23">
        <f>YEAR(financial_status[[#This Row],[Date]])</f>
        <v>2022</v>
      </c>
      <c r="D23" t="s">
        <v>21</v>
      </c>
      <c r="E23" t="s">
        <v>19</v>
      </c>
      <c r="F23">
        <v>27725</v>
      </c>
      <c r="G23">
        <v>33945</v>
      </c>
      <c r="H23">
        <v>-6220</v>
      </c>
      <c r="I23">
        <v>9637</v>
      </c>
    </row>
    <row r="24" spans="1:9" x14ac:dyDescent="0.3">
      <c r="A24" t="s">
        <v>210</v>
      </c>
      <c r="B24">
        <f>MONTH(financial_status[[#This Row],[Date]])</f>
        <v>2</v>
      </c>
      <c r="C24">
        <f>YEAR(financial_status[[#This Row],[Date]])</f>
        <v>2022</v>
      </c>
      <c r="D24" t="s">
        <v>21</v>
      </c>
      <c r="E24" t="s">
        <v>9</v>
      </c>
      <c r="F24">
        <v>49558</v>
      </c>
      <c r="G24">
        <v>84307</v>
      </c>
      <c r="H24">
        <v>-34749</v>
      </c>
      <c r="I24">
        <v>3805</v>
      </c>
    </row>
    <row r="25" spans="1:9" x14ac:dyDescent="0.3">
      <c r="A25" t="s">
        <v>245</v>
      </c>
      <c r="B25">
        <f>MONTH(financial_status[[#This Row],[Date]])</f>
        <v>2</v>
      </c>
      <c r="C25">
        <f>YEAR(financial_status[[#This Row],[Date]])</f>
        <v>2022</v>
      </c>
      <c r="D25" t="s">
        <v>8</v>
      </c>
      <c r="E25" t="s">
        <v>23</v>
      </c>
      <c r="F25">
        <v>109804</v>
      </c>
      <c r="G25">
        <v>49657</v>
      </c>
      <c r="H25">
        <v>60147</v>
      </c>
      <c r="I25">
        <v>3921</v>
      </c>
    </row>
    <row r="26" spans="1:9" x14ac:dyDescent="0.3">
      <c r="A26" t="s">
        <v>124</v>
      </c>
      <c r="B26">
        <f>MONTH(financial_status[[#This Row],[Date]])</f>
        <v>3</v>
      </c>
      <c r="C26">
        <f>YEAR(financial_status[[#This Row],[Date]])</f>
        <v>2022</v>
      </c>
      <c r="D26" t="s">
        <v>11</v>
      </c>
      <c r="E26" t="s">
        <v>23</v>
      </c>
      <c r="F26">
        <v>118641</v>
      </c>
      <c r="G26">
        <v>77084</v>
      </c>
      <c r="H26">
        <v>41557</v>
      </c>
      <c r="I26">
        <v>6295</v>
      </c>
    </row>
    <row r="27" spans="1:9" x14ac:dyDescent="0.3">
      <c r="A27" t="s">
        <v>249</v>
      </c>
      <c r="B27">
        <f>MONTH(financial_status[[#This Row],[Date]])</f>
        <v>3</v>
      </c>
      <c r="C27">
        <f>YEAR(financial_status[[#This Row],[Date]])</f>
        <v>2022</v>
      </c>
      <c r="D27" t="s">
        <v>11</v>
      </c>
      <c r="E27" t="s">
        <v>23</v>
      </c>
      <c r="F27">
        <v>101145</v>
      </c>
      <c r="G27">
        <v>74490</v>
      </c>
      <c r="H27">
        <v>26655</v>
      </c>
      <c r="I27">
        <v>7130</v>
      </c>
    </row>
    <row r="28" spans="1:9" x14ac:dyDescent="0.3">
      <c r="A28" t="s">
        <v>217</v>
      </c>
      <c r="B28">
        <f>MONTH(financial_status[[#This Row],[Date]])</f>
        <v>3</v>
      </c>
      <c r="C28">
        <f>YEAR(financial_status[[#This Row],[Date]])</f>
        <v>2022</v>
      </c>
      <c r="D28" t="s">
        <v>15</v>
      </c>
      <c r="E28" t="s">
        <v>19</v>
      </c>
      <c r="F28">
        <v>77606</v>
      </c>
      <c r="G28">
        <v>20919</v>
      </c>
      <c r="H28">
        <v>56687</v>
      </c>
      <c r="I28">
        <v>6732</v>
      </c>
    </row>
    <row r="29" spans="1:9" x14ac:dyDescent="0.3">
      <c r="A29" t="s">
        <v>123</v>
      </c>
      <c r="B29">
        <f>MONTH(financial_status[[#This Row],[Date]])</f>
        <v>3</v>
      </c>
      <c r="C29">
        <f>YEAR(financial_status[[#This Row],[Date]])</f>
        <v>2022</v>
      </c>
      <c r="D29" t="s">
        <v>11</v>
      </c>
      <c r="E29" t="s">
        <v>23</v>
      </c>
      <c r="F29">
        <v>68771</v>
      </c>
      <c r="G29">
        <v>32375</v>
      </c>
      <c r="H29">
        <v>36396</v>
      </c>
      <c r="I29">
        <v>15086</v>
      </c>
    </row>
    <row r="30" spans="1:9" x14ac:dyDescent="0.3">
      <c r="A30" t="s">
        <v>123</v>
      </c>
      <c r="B30">
        <f>MONTH(financial_status[[#This Row],[Date]])</f>
        <v>3</v>
      </c>
      <c r="C30">
        <f>YEAR(financial_status[[#This Row],[Date]])</f>
        <v>2022</v>
      </c>
      <c r="D30" t="s">
        <v>15</v>
      </c>
      <c r="E30" t="s">
        <v>19</v>
      </c>
      <c r="F30">
        <v>27184</v>
      </c>
      <c r="G30">
        <v>41520</v>
      </c>
      <c r="H30">
        <v>-14336</v>
      </c>
      <c r="I30">
        <v>7041</v>
      </c>
    </row>
    <row r="31" spans="1:9" x14ac:dyDescent="0.3">
      <c r="A31" t="s">
        <v>200</v>
      </c>
      <c r="B31">
        <f>MONTH(financial_status[[#This Row],[Date]])</f>
        <v>3</v>
      </c>
      <c r="C31">
        <f>YEAR(financial_status[[#This Row],[Date]])</f>
        <v>2022</v>
      </c>
      <c r="D31" t="s">
        <v>11</v>
      </c>
      <c r="E31" t="s">
        <v>12</v>
      </c>
      <c r="F31">
        <v>96129</v>
      </c>
      <c r="G31">
        <v>54978</v>
      </c>
      <c r="H31">
        <v>41151</v>
      </c>
      <c r="I31">
        <v>19939</v>
      </c>
    </row>
    <row r="32" spans="1:9" x14ac:dyDescent="0.3">
      <c r="A32" t="s">
        <v>260</v>
      </c>
      <c r="B32">
        <f>MONTH(financial_status[[#This Row],[Date]])</f>
        <v>3</v>
      </c>
      <c r="C32">
        <f>YEAR(financial_status[[#This Row],[Date]])</f>
        <v>2022</v>
      </c>
      <c r="D32" t="s">
        <v>15</v>
      </c>
      <c r="E32" t="s">
        <v>9</v>
      </c>
      <c r="F32">
        <v>56337</v>
      </c>
      <c r="G32">
        <v>10318</v>
      </c>
      <c r="H32">
        <v>46019</v>
      </c>
      <c r="I32">
        <v>5355</v>
      </c>
    </row>
    <row r="33" spans="1:9" x14ac:dyDescent="0.3">
      <c r="A33" t="s">
        <v>183</v>
      </c>
      <c r="B33">
        <f>MONTH(financial_status[[#This Row],[Date]])</f>
        <v>3</v>
      </c>
      <c r="C33">
        <f>YEAR(financial_status[[#This Row],[Date]])</f>
        <v>2022</v>
      </c>
      <c r="D33" t="s">
        <v>8</v>
      </c>
      <c r="E33" t="s">
        <v>12</v>
      </c>
      <c r="F33">
        <v>27560</v>
      </c>
      <c r="G33">
        <v>45345</v>
      </c>
      <c r="H33">
        <v>-17785</v>
      </c>
      <c r="I33">
        <v>10839</v>
      </c>
    </row>
    <row r="34" spans="1:9" x14ac:dyDescent="0.3">
      <c r="A34" t="s">
        <v>67</v>
      </c>
      <c r="B34">
        <f>MONTH(financial_status[[#This Row],[Date]])</f>
        <v>3</v>
      </c>
      <c r="C34">
        <f>YEAR(financial_status[[#This Row],[Date]])</f>
        <v>2022</v>
      </c>
      <c r="D34" t="s">
        <v>21</v>
      </c>
      <c r="E34" t="s">
        <v>9</v>
      </c>
      <c r="F34">
        <v>57453</v>
      </c>
      <c r="G34">
        <v>34018</v>
      </c>
      <c r="H34">
        <v>23435</v>
      </c>
      <c r="I34">
        <v>6081</v>
      </c>
    </row>
    <row r="35" spans="1:9" x14ac:dyDescent="0.3">
      <c r="A35" t="s">
        <v>67</v>
      </c>
      <c r="B35">
        <f>MONTH(financial_status[[#This Row],[Date]])</f>
        <v>3</v>
      </c>
      <c r="C35">
        <f>YEAR(financial_status[[#This Row],[Date]])</f>
        <v>2022</v>
      </c>
      <c r="D35" t="s">
        <v>15</v>
      </c>
      <c r="E35" t="s">
        <v>19</v>
      </c>
      <c r="F35">
        <v>51467</v>
      </c>
      <c r="G35">
        <v>80274</v>
      </c>
      <c r="H35">
        <v>-28807</v>
      </c>
      <c r="I35">
        <v>10681</v>
      </c>
    </row>
    <row r="36" spans="1:9" x14ac:dyDescent="0.3">
      <c r="A36" t="s">
        <v>67</v>
      </c>
      <c r="B36">
        <f>MONTH(financial_status[[#This Row],[Date]])</f>
        <v>3</v>
      </c>
      <c r="C36">
        <f>YEAR(financial_status[[#This Row],[Date]])</f>
        <v>2022</v>
      </c>
      <c r="D36" t="s">
        <v>8</v>
      </c>
      <c r="E36" t="s">
        <v>19</v>
      </c>
      <c r="F36">
        <v>53818</v>
      </c>
      <c r="G36">
        <v>41591</v>
      </c>
      <c r="H36">
        <v>12227</v>
      </c>
      <c r="I36">
        <v>5927</v>
      </c>
    </row>
    <row r="37" spans="1:9" x14ac:dyDescent="0.3">
      <c r="A37" t="s">
        <v>251</v>
      </c>
      <c r="B37">
        <f>MONTH(financial_status[[#This Row],[Date]])</f>
        <v>3</v>
      </c>
      <c r="C37">
        <f>YEAR(financial_status[[#This Row],[Date]])</f>
        <v>2022</v>
      </c>
      <c r="D37" t="s">
        <v>21</v>
      </c>
      <c r="E37" t="s">
        <v>19</v>
      </c>
      <c r="F37">
        <v>96651</v>
      </c>
      <c r="G37">
        <v>47495</v>
      </c>
      <c r="H37">
        <v>49156</v>
      </c>
      <c r="I37">
        <v>8336</v>
      </c>
    </row>
    <row r="38" spans="1:9" x14ac:dyDescent="0.3">
      <c r="A38" t="s">
        <v>150</v>
      </c>
      <c r="B38">
        <f>MONTH(financial_status[[#This Row],[Date]])</f>
        <v>3</v>
      </c>
      <c r="C38">
        <f>YEAR(financial_status[[#This Row],[Date]])</f>
        <v>2022</v>
      </c>
      <c r="D38" t="s">
        <v>21</v>
      </c>
      <c r="E38" t="s">
        <v>23</v>
      </c>
      <c r="F38">
        <v>21367</v>
      </c>
      <c r="G38">
        <v>89750</v>
      </c>
      <c r="H38">
        <v>-68383</v>
      </c>
      <c r="I38">
        <v>3277</v>
      </c>
    </row>
    <row r="39" spans="1:9" x14ac:dyDescent="0.3">
      <c r="A39" t="s">
        <v>261</v>
      </c>
      <c r="B39">
        <f>MONTH(financial_status[[#This Row],[Date]])</f>
        <v>3</v>
      </c>
      <c r="C39">
        <f>YEAR(financial_status[[#This Row],[Date]])</f>
        <v>2022</v>
      </c>
      <c r="D39" t="s">
        <v>15</v>
      </c>
      <c r="E39" t="s">
        <v>9</v>
      </c>
      <c r="F39">
        <v>83439</v>
      </c>
      <c r="G39">
        <v>16908</v>
      </c>
      <c r="H39">
        <v>66531</v>
      </c>
      <c r="I39">
        <v>8514</v>
      </c>
    </row>
    <row r="40" spans="1:9" x14ac:dyDescent="0.3">
      <c r="A40" t="s">
        <v>199</v>
      </c>
      <c r="B40">
        <f>MONTH(financial_status[[#This Row],[Date]])</f>
        <v>4</v>
      </c>
      <c r="C40">
        <f>YEAR(financial_status[[#This Row],[Date]])</f>
        <v>2022</v>
      </c>
      <c r="D40" t="s">
        <v>21</v>
      </c>
      <c r="E40" t="s">
        <v>19</v>
      </c>
      <c r="F40">
        <v>42966</v>
      </c>
      <c r="G40">
        <v>86083</v>
      </c>
      <c r="H40">
        <v>-43117</v>
      </c>
      <c r="I40">
        <v>14660</v>
      </c>
    </row>
    <row r="41" spans="1:9" x14ac:dyDescent="0.3">
      <c r="A41" t="s">
        <v>199</v>
      </c>
      <c r="B41">
        <f>MONTH(financial_status[[#This Row],[Date]])</f>
        <v>4</v>
      </c>
      <c r="C41">
        <f>YEAR(financial_status[[#This Row],[Date]])</f>
        <v>2022</v>
      </c>
      <c r="D41" t="s">
        <v>15</v>
      </c>
      <c r="E41" t="s">
        <v>19</v>
      </c>
      <c r="F41">
        <v>103651</v>
      </c>
      <c r="G41">
        <v>79270</v>
      </c>
      <c r="H41">
        <v>24381</v>
      </c>
      <c r="I41">
        <v>14635</v>
      </c>
    </row>
    <row r="42" spans="1:9" x14ac:dyDescent="0.3">
      <c r="A42" t="s">
        <v>189</v>
      </c>
      <c r="B42">
        <f>MONTH(financial_status[[#This Row],[Date]])</f>
        <v>4</v>
      </c>
      <c r="C42">
        <f>YEAR(financial_status[[#This Row],[Date]])</f>
        <v>2022</v>
      </c>
      <c r="D42" t="s">
        <v>15</v>
      </c>
      <c r="E42" t="s">
        <v>23</v>
      </c>
      <c r="F42">
        <v>38291</v>
      </c>
      <c r="G42">
        <v>45217</v>
      </c>
      <c r="H42">
        <v>-6926</v>
      </c>
      <c r="I42">
        <v>14135</v>
      </c>
    </row>
    <row r="43" spans="1:9" x14ac:dyDescent="0.3">
      <c r="A43" t="s">
        <v>208</v>
      </c>
      <c r="B43">
        <f>MONTH(financial_status[[#This Row],[Date]])</f>
        <v>4</v>
      </c>
      <c r="C43">
        <f>YEAR(financial_status[[#This Row],[Date]])</f>
        <v>2022</v>
      </c>
      <c r="D43" t="s">
        <v>21</v>
      </c>
      <c r="E43" t="s">
        <v>23</v>
      </c>
      <c r="F43">
        <v>118168</v>
      </c>
      <c r="G43">
        <v>81718</v>
      </c>
      <c r="H43">
        <v>36450</v>
      </c>
      <c r="I43">
        <v>7569</v>
      </c>
    </row>
    <row r="44" spans="1:9" x14ac:dyDescent="0.3">
      <c r="A44" t="s">
        <v>208</v>
      </c>
      <c r="B44">
        <f>MONTH(financial_status[[#This Row],[Date]])</f>
        <v>4</v>
      </c>
      <c r="C44">
        <f>YEAR(financial_status[[#This Row],[Date]])</f>
        <v>2022</v>
      </c>
      <c r="D44" t="s">
        <v>15</v>
      </c>
      <c r="E44" t="s">
        <v>23</v>
      </c>
      <c r="F44">
        <v>70892</v>
      </c>
      <c r="G44">
        <v>28934</v>
      </c>
      <c r="H44">
        <v>41958</v>
      </c>
      <c r="I44">
        <v>13384</v>
      </c>
    </row>
    <row r="45" spans="1:9" x14ac:dyDescent="0.3">
      <c r="A45" t="s">
        <v>234</v>
      </c>
      <c r="B45">
        <f>MONTH(financial_status[[#This Row],[Date]])</f>
        <v>4</v>
      </c>
      <c r="C45">
        <f>YEAR(financial_status[[#This Row],[Date]])</f>
        <v>2022</v>
      </c>
      <c r="D45" t="s">
        <v>11</v>
      </c>
      <c r="E45" t="s">
        <v>23</v>
      </c>
      <c r="F45">
        <v>94202</v>
      </c>
      <c r="G45">
        <v>76810</v>
      </c>
      <c r="H45">
        <v>17392</v>
      </c>
      <c r="I45">
        <v>6123</v>
      </c>
    </row>
    <row r="46" spans="1:9" x14ac:dyDescent="0.3">
      <c r="A46" t="s">
        <v>7</v>
      </c>
      <c r="B46">
        <f>MONTH(financial_status[[#This Row],[Date]])</f>
        <v>4</v>
      </c>
      <c r="C46">
        <f>YEAR(financial_status[[#This Row],[Date]])</f>
        <v>2022</v>
      </c>
      <c r="D46" t="s">
        <v>8</v>
      </c>
      <c r="E46" t="s">
        <v>9</v>
      </c>
      <c r="F46">
        <v>74648</v>
      </c>
      <c r="G46">
        <v>49653</v>
      </c>
      <c r="H46">
        <v>24995</v>
      </c>
      <c r="I46">
        <v>3376</v>
      </c>
    </row>
    <row r="47" spans="1:9" x14ac:dyDescent="0.3">
      <c r="A47" t="s">
        <v>95</v>
      </c>
      <c r="B47">
        <f>MONTH(financial_status[[#This Row],[Date]])</f>
        <v>5</v>
      </c>
      <c r="C47">
        <f>YEAR(financial_status[[#This Row],[Date]])</f>
        <v>2022</v>
      </c>
      <c r="D47" t="s">
        <v>21</v>
      </c>
      <c r="E47" t="s">
        <v>12</v>
      </c>
      <c r="F47">
        <v>39178</v>
      </c>
      <c r="G47">
        <v>81825</v>
      </c>
      <c r="H47">
        <v>-42647</v>
      </c>
      <c r="I47">
        <v>3269</v>
      </c>
    </row>
    <row r="48" spans="1:9" x14ac:dyDescent="0.3">
      <c r="A48" t="s">
        <v>229</v>
      </c>
      <c r="B48">
        <f>MONTH(financial_status[[#This Row],[Date]])</f>
        <v>5</v>
      </c>
      <c r="C48">
        <f>YEAR(financial_status[[#This Row],[Date]])</f>
        <v>2022</v>
      </c>
      <c r="D48" t="s">
        <v>15</v>
      </c>
      <c r="E48" t="s">
        <v>12</v>
      </c>
      <c r="F48">
        <v>87298</v>
      </c>
      <c r="G48">
        <v>19400</v>
      </c>
      <c r="H48">
        <v>67898</v>
      </c>
      <c r="I48">
        <v>8435</v>
      </c>
    </row>
    <row r="49" spans="1:9" x14ac:dyDescent="0.3">
      <c r="A49" t="s">
        <v>229</v>
      </c>
      <c r="B49">
        <f>MONTH(financial_status[[#This Row],[Date]])</f>
        <v>5</v>
      </c>
      <c r="C49">
        <f>YEAR(financial_status[[#This Row],[Date]])</f>
        <v>2022</v>
      </c>
      <c r="D49" t="s">
        <v>8</v>
      </c>
      <c r="E49" t="s">
        <v>23</v>
      </c>
      <c r="F49">
        <v>32542</v>
      </c>
      <c r="G49">
        <v>59765</v>
      </c>
      <c r="H49">
        <v>-27223</v>
      </c>
      <c r="I49">
        <v>4686</v>
      </c>
    </row>
    <row r="50" spans="1:9" x14ac:dyDescent="0.3">
      <c r="A50" t="s">
        <v>126</v>
      </c>
      <c r="B50">
        <f>MONTH(financial_status[[#This Row],[Date]])</f>
        <v>5</v>
      </c>
      <c r="C50">
        <f>YEAR(financial_status[[#This Row],[Date]])</f>
        <v>2022</v>
      </c>
      <c r="D50" t="s">
        <v>15</v>
      </c>
      <c r="E50" t="s">
        <v>9</v>
      </c>
      <c r="F50">
        <v>46225</v>
      </c>
      <c r="G50">
        <v>15492</v>
      </c>
      <c r="H50">
        <v>30733</v>
      </c>
      <c r="I50">
        <v>18182</v>
      </c>
    </row>
    <row r="51" spans="1:9" x14ac:dyDescent="0.3">
      <c r="A51" t="s">
        <v>60</v>
      </c>
      <c r="B51">
        <f>MONTH(financial_status[[#This Row],[Date]])</f>
        <v>5</v>
      </c>
      <c r="C51">
        <f>YEAR(financial_status[[#This Row],[Date]])</f>
        <v>2022</v>
      </c>
      <c r="D51" t="s">
        <v>8</v>
      </c>
      <c r="E51" t="s">
        <v>19</v>
      </c>
      <c r="F51">
        <v>77771</v>
      </c>
      <c r="G51">
        <v>10585</v>
      </c>
      <c r="H51">
        <v>67186</v>
      </c>
      <c r="I51">
        <v>6060</v>
      </c>
    </row>
    <row r="52" spans="1:9" x14ac:dyDescent="0.3">
      <c r="A52" t="s">
        <v>60</v>
      </c>
      <c r="B52">
        <f>MONTH(financial_status[[#This Row],[Date]])</f>
        <v>5</v>
      </c>
      <c r="C52">
        <f>YEAR(financial_status[[#This Row],[Date]])</f>
        <v>2022</v>
      </c>
      <c r="D52" t="s">
        <v>11</v>
      </c>
      <c r="E52" t="s">
        <v>23</v>
      </c>
      <c r="F52">
        <v>34895</v>
      </c>
      <c r="G52">
        <v>38806</v>
      </c>
      <c r="H52">
        <v>-3911</v>
      </c>
      <c r="I52">
        <v>14667</v>
      </c>
    </row>
    <row r="53" spans="1:9" x14ac:dyDescent="0.3">
      <c r="A53" t="s">
        <v>16</v>
      </c>
      <c r="B53">
        <f>MONTH(financial_status[[#This Row],[Date]])</f>
        <v>5</v>
      </c>
      <c r="C53">
        <f>YEAR(financial_status[[#This Row],[Date]])</f>
        <v>2022</v>
      </c>
      <c r="D53" t="s">
        <v>8</v>
      </c>
      <c r="E53" t="s">
        <v>9</v>
      </c>
      <c r="F53">
        <v>29854</v>
      </c>
      <c r="G53">
        <v>54027</v>
      </c>
      <c r="H53">
        <v>-24173</v>
      </c>
      <c r="I53">
        <v>11566</v>
      </c>
    </row>
    <row r="54" spans="1:9" x14ac:dyDescent="0.3">
      <c r="A54" t="s">
        <v>53</v>
      </c>
      <c r="B54">
        <f>MONTH(financial_status[[#This Row],[Date]])</f>
        <v>5</v>
      </c>
      <c r="C54">
        <f>YEAR(financial_status[[#This Row],[Date]])</f>
        <v>2022</v>
      </c>
      <c r="D54" t="s">
        <v>21</v>
      </c>
      <c r="E54" t="s">
        <v>23</v>
      </c>
      <c r="F54">
        <v>96313</v>
      </c>
      <c r="G54">
        <v>89798</v>
      </c>
      <c r="H54">
        <v>6515</v>
      </c>
      <c r="I54">
        <v>9501</v>
      </c>
    </row>
    <row r="55" spans="1:9" x14ac:dyDescent="0.3">
      <c r="A55" t="s">
        <v>114</v>
      </c>
      <c r="B55">
        <f>MONTH(financial_status[[#This Row],[Date]])</f>
        <v>5</v>
      </c>
      <c r="C55">
        <f>YEAR(financial_status[[#This Row],[Date]])</f>
        <v>2022</v>
      </c>
      <c r="D55" t="s">
        <v>15</v>
      </c>
      <c r="E55" t="s">
        <v>9</v>
      </c>
      <c r="F55">
        <v>32642</v>
      </c>
      <c r="G55">
        <v>45383</v>
      </c>
      <c r="H55">
        <v>-12741</v>
      </c>
      <c r="I55">
        <v>8966</v>
      </c>
    </row>
    <row r="56" spans="1:9" x14ac:dyDescent="0.3">
      <c r="A56" t="s">
        <v>91</v>
      </c>
      <c r="B56">
        <f>MONTH(financial_status[[#This Row],[Date]])</f>
        <v>5</v>
      </c>
      <c r="C56">
        <f>YEAR(financial_status[[#This Row],[Date]])</f>
        <v>2022</v>
      </c>
      <c r="D56" t="s">
        <v>11</v>
      </c>
      <c r="E56" t="s">
        <v>9</v>
      </c>
      <c r="F56">
        <v>86180</v>
      </c>
      <c r="G56">
        <v>10360</v>
      </c>
      <c r="H56">
        <v>75820</v>
      </c>
      <c r="I56">
        <v>2736</v>
      </c>
    </row>
    <row r="57" spans="1:9" x14ac:dyDescent="0.3">
      <c r="A57" t="s">
        <v>213</v>
      </c>
      <c r="B57">
        <f>MONTH(financial_status[[#This Row],[Date]])</f>
        <v>6</v>
      </c>
      <c r="C57">
        <f>YEAR(financial_status[[#This Row],[Date]])</f>
        <v>2022</v>
      </c>
      <c r="D57" t="s">
        <v>8</v>
      </c>
      <c r="E57" t="s">
        <v>19</v>
      </c>
      <c r="F57">
        <v>94354</v>
      </c>
      <c r="G57">
        <v>27520</v>
      </c>
      <c r="H57">
        <v>66834</v>
      </c>
      <c r="I57">
        <v>7295</v>
      </c>
    </row>
    <row r="58" spans="1:9" x14ac:dyDescent="0.3">
      <c r="A58" t="s">
        <v>240</v>
      </c>
      <c r="B58">
        <f>MONTH(financial_status[[#This Row],[Date]])</f>
        <v>6</v>
      </c>
      <c r="C58">
        <f>YEAR(financial_status[[#This Row],[Date]])</f>
        <v>2022</v>
      </c>
      <c r="D58" t="s">
        <v>21</v>
      </c>
      <c r="E58" t="s">
        <v>19</v>
      </c>
      <c r="F58">
        <v>23122</v>
      </c>
      <c r="G58">
        <v>35924</v>
      </c>
      <c r="H58">
        <v>-12802</v>
      </c>
      <c r="I58">
        <v>4792</v>
      </c>
    </row>
    <row r="59" spans="1:9" x14ac:dyDescent="0.3">
      <c r="A59" t="s">
        <v>211</v>
      </c>
      <c r="B59">
        <f>MONTH(financial_status[[#This Row],[Date]])</f>
        <v>6</v>
      </c>
      <c r="C59">
        <f>YEAR(financial_status[[#This Row],[Date]])</f>
        <v>2022</v>
      </c>
      <c r="D59" t="s">
        <v>8</v>
      </c>
      <c r="E59" t="s">
        <v>23</v>
      </c>
      <c r="F59">
        <v>43125</v>
      </c>
      <c r="G59">
        <v>60005</v>
      </c>
      <c r="H59">
        <v>-16880</v>
      </c>
      <c r="I59">
        <v>16991</v>
      </c>
    </row>
    <row r="60" spans="1:9" x14ac:dyDescent="0.3">
      <c r="A60" t="s">
        <v>169</v>
      </c>
      <c r="B60">
        <f>MONTH(financial_status[[#This Row],[Date]])</f>
        <v>6</v>
      </c>
      <c r="C60">
        <f>YEAR(financial_status[[#This Row],[Date]])</f>
        <v>2022</v>
      </c>
      <c r="D60" t="s">
        <v>11</v>
      </c>
      <c r="E60" t="s">
        <v>19</v>
      </c>
      <c r="F60">
        <v>48274</v>
      </c>
      <c r="G60">
        <v>86005</v>
      </c>
      <c r="H60">
        <v>-37731</v>
      </c>
      <c r="I60">
        <v>8050</v>
      </c>
    </row>
    <row r="61" spans="1:9" x14ac:dyDescent="0.3">
      <c r="A61" t="s">
        <v>169</v>
      </c>
      <c r="B61">
        <f>MONTH(financial_status[[#This Row],[Date]])</f>
        <v>6</v>
      </c>
      <c r="C61">
        <f>YEAR(financial_status[[#This Row],[Date]])</f>
        <v>2022</v>
      </c>
      <c r="D61" t="s">
        <v>8</v>
      </c>
      <c r="E61" t="s">
        <v>9</v>
      </c>
      <c r="F61">
        <v>95525</v>
      </c>
      <c r="G61">
        <v>88729</v>
      </c>
      <c r="H61">
        <v>6796</v>
      </c>
      <c r="I61">
        <v>10173</v>
      </c>
    </row>
    <row r="62" spans="1:9" x14ac:dyDescent="0.3">
      <c r="A62" t="s">
        <v>30</v>
      </c>
      <c r="B62">
        <f>MONTH(financial_status[[#This Row],[Date]])</f>
        <v>6</v>
      </c>
      <c r="C62">
        <f>YEAR(financial_status[[#This Row],[Date]])</f>
        <v>2022</v>
      </c>
      <c r="D62" t="s">
        <v>11</v>
      </c>
      <c r="E62" t="s">
        <v>12</v>
      </c>
      <c r="F62">
        <v>78606</v>
      </c>
      <c r="G62">
        <v>29898</v>
      </c>
      <c r="H62">
        <v>48708</v>
      </c>
      <c r="I62">
        <v>5967</v>
      </c>
    </row>
    <row r="63" spans="1:9" x14ac:dyDescent="0.3">
      <c r="A63" t="s">
        <v>51</v>
      </c>
      <c r="B63">
        <f>MONTH(financial_status[[#This Row],[Date]])</f>
        <v>6</v>
      </c>
      <c r="C63">
        <f>YEAR(financial_status[[#This Row],[Date]])</f>
        <v>2022</v>
      </c>
      <c r="D63" t="s">
        <v>11</v>
      </c>
      <c r="E63" t="s">
        <v>23</v>
      </c>
      <c r="F63">
        <v>118008</v>
      </c>
      <c r="G63">
        <v>64499</v>
      </c>
      <c r="H63">
        <v>53509</v>
      </c>
      <c r="I63">
        <v>16712</v>
      </c>
    </row>
    <row r="64" spans="1:9" x14ac:dyDescent="0.3">
      <c r="A64" t="s">
        <v>73</v>
      </c>
      <c r="B64">
        <f>MONTH(financial_status[[#This Row],[Date]])</f>
        <v>6</v>
      </c>
      <c r="C64">
        <f>YEAR(financial_status[[#This Row],[Date]])</f>
        <v>2022</v>
      </c>
      <c r="D64" t="s">
        <v>15</v>
      </c>
      <c r="E64" t="s">
        <v>23</v>
      </c>
      <c r="F64">
        <v>82518</v>
      </c>
      <c r="G64">
        <v>76412</v>
      </c>
      <c r="H64">
        <v>6106</v>
      </c>
      <c r="I64">
        <v>19299</v>
      </c>
    </row>
    <row r="65" spans="1:9" x14ac:dyDescent="0.3">
      <c r="A65" t="s">
        <v>147</v>
      </c>
      <c r="B65">
        <f>MONTH(financial_status[[#This Row],[Date]])</f>
        <v>6</v>
      </c>
      <c r="C65">
        <f>YEAR(financial_status[[#This Row],[Date]])</f>
        <v>2022</v>
      </c>
      <c r="D65" t="s">
        <v>11</v>
      </c>
      <c r="E65" t="s">
        <v>19</v>
      </c>
      <c r="F65">
        <v>59724</v>
      </c>
      <c r="G65">
        <v>47799</v>
      </c>
      <c r="H65">
        <v>11925</v>
      </c>
      <c r="I65">
        <v>4825</v>
      </c>
    </row>
    <row r="66" spans="1:9" x14ac:dyDescent="0.3">
      <c r="A66" t="s">
        <v>176</v>
      </c>
      <c r="B66">
        <f>MONTH(financial_status[[#This Row],[Date]])</f>
        <v>6</v>
      </c>
      <c r="C66">
        <f>YEAR(financial_status[[#This Row],[Date]])</f>
        <v>2022</v>
      </c>
      <c r="D66" t="s">
        <v>15</v>
      </c>
      <c r="E66" t="s">
        <v>12</v>
      </c>
      <c r="F66">
        <v>102593</v>
      </c>
      <c r="G66">
        <v>81466</v>
      </c>
      <c r="H66">
        <v>21127</v>
      </c>
      <c r="I66">
        <v>18639</v>
      </c>
    </row>
    <row r="67" spans="1:9" x14ac:dyDescent="0.3">
      <c r="A67" t="s">
        <v>219</v>
      </c>
      <c r="B67">
        <f>MONTH(financial_status[[#This Row],[Date]])</f>
        <v>6</v>
      </c>
      <c r="C67">
        <f>YEAR(financial_status[[#This Row],[Date]])</f>
        <v>2022</v>
      </c>
      <c r="D67" t="s">
        <v>11</v>
      </c>
      <c r="E67" t="s">
        <v>19</v>
      </c>
      <c r="F67">
        <v>48867</v>
      </c>
      <c r="G67">
        <v>67466</v>
      </c>
      <c r="H67">
        <v>-18599</v>
      </c>
      <c r="I67">
        <v>2460</v>
      </c>
    </row>
    <row r="68" spans="1:9" x14ac:dyDescent="0.3">
      <c r="A68" t="s">
        <v>219</v>
      </c>
      <c r="B68">
        <f>MONTH(financial_status[[#This Row],[Date]])</f>
        <v>6</v>
      </c>
      <c r="C68">
        <f>YEAR(financial_status[[#This Row],[Date]])</f>
        <v>2022</v>
      </c>
      <c r="D68" t="s">
        <v>8</v>
      </c>
      <c r="E68" t="s">
        <v>12</v>
      </c>
      <c r="F68">
        <v>63378</v>
      </c>
      <c r="G68">
        <v>78884</v>
      </c>
      <c r="H68">
        <v>-15506</v>
      </c>
      <c r="I68">
        <v>15089</v>
      </c>
    </row>
    <row r="69" spans="1:9" x14ac:dyDescent="0.3">
      <c r="A69" t="s">
        <v>42</v>
      </c>
      <c r="B69">
        <f>MONTH(financial_status[[#This Row],[Date]])</f>
        <v>7</v>
      </c>
      <c r="C69">
        <f>YEAR(financial_status[[#This Row],[Date]])</f>
        <v>2022</v>
      </c>
      <c r="D69" t="s">
        <v>8</v>
      </c>
      <c r="E69" t="s">
        <v>12</v>
      </c>
      <c r="F69">
        <v>106928</v>
      </c>
      <c r="G69">
        <v>21166</v>
      </c>
      <c r="H69">
        <v>85762</v>
      </c>
      <c r="I69">
        <v>9704</v>
      </c>
    </row>
    <row r="70" spans="1:9" x14ac:dyDescent="0.3">
      <c r="A70" t="s">
        <v>79</v>
      </c>
      <c r="B70">
        <f>MONTH(financial_status[[#This Row],[Date]])</f>
        <v>7</v>
      </c>
      <c r="C70">
        <f>YEAR(financial_status[[#This Row],[Date]])</f>
        <v>2022</v>
      </c>
      <c r="D70" t="s">
        <v>11</v>
      </c>
      <c r="E70" t="s">
        <v>23</v>
      </c>
      <c r="F70">
        <v>63066</v>
      </c>
      <c r="G70">
        <v>50603</v>
      </c>
      <c r="H70">
        <v>12463</v>
      </c>
      <c r="I70">
        <v>19213</v>
      </c>
    </row>
    <row r="71" spans="1:9" x14ac:dyDescent="0.3">
      <c r="A71" t="s">
        <v>258</v>
      </c>
      <c r="B71">
        <f>MONTH(financial_status[[#This Row],[Date]])</f>
        <v>7</v>
      </c>
      <c r="C71">
        <f>YEAR(financial_status[[#This Row],[Date]])</f>
        <v>2022</v>
      </c>
      <c r="D71" t="s">
        <v>8</v>
      </c>
      <c r="E71" t="s">
        <v>9</v>
      </c>
      <c r="F71">
        <v>44425</v>
      </c>
      <c r="G71">
        <v>15666</v>
      </c>
      <c r="H71">
        <v>28759</v>
      </c>
      <c r="I71">
        <v>3229</v>
      </c>
    </row>
    <row r="72" spans="1:9" x14ac:dyDescent="0.3">
      <c r="A72" t="s">
        <v>243</v>
      </c>
      <c r="B72">
        <f>MONTH(financial_status[[#This Row],[Date]])</f>
        <v>7</v>
      </c>
      <c r="C72">
        <f>YEAR(financial_status[[#This Row],[Date]])</f>
        <v>2022</v>
      </c>
      <c r="D72" t="s">
        <v>11</v>
      </c>
      <c r="E72" t="s">
        <v>12</v>
      </c>
      <c r="F72">
        <v>93009</v>
      </c>
      <c r="G72">
        <v>40235</v>
      </c>
      <c r="H72">
        <v>52774</v>
      </c>
      <c r="I72">
        <v>14149</v>
      </c>
    </row>
    <row r="73" spans="1:9" x14ac:dyDescent="0.3">
      <c r="A73" t="s">
        <v>243</v>
      </c>
      <c r="B73">
        <f>MONTH(financial_status[[#This Row],[Date]])</f>
        <v>7</v>
      </c>
      <c r="C73">
        <f>YEAR(financial_status[[#This Row],[Date]])</f>
        <v>2022</v>
      </c>
      <c r="D73" t="s">
        <v>21</v>
      </c>
      <c r="E73" t="s">
        <v>19</v>
      </c>
      <c r="F73">
        <v>59281</v>
      </c>
      <c r="G73">
        <v>21446</v>
      </c>
      <c r="H73">
        <v>37835</v>
      </c>
      <c r="I73">
        <v>11568</v>
      </c>
    </row>
    <row r="74" spans="1:9" x14ac:dyDescent="0.3">
      <c r="A74" t="s">
        <v>161</v>
      </c>
      <c r="B74">
        <f>MONTH(financial_status[[#This Row],[Date]])</f>
        <v>7</v>
      </c>
      <c r="C74">
        <f>YEAR(financial_status[[#This Row],[Date]])</f>
        <v>2022</v>
      </c>
      <c r="D74" t="s">
        <v>11</v>
      </c>
      <c r="E74" t="s">
        <v>12</v>
      </c>
      <c r="F74">
        <v>44749</v>
      </c>
      <c r="G74">
        <v>11500</v>
      </c>
      <c r="H74">
        <v>33249</v>
      </c>
      <c r="I74">
        <v>8701</v>
      </c>
    </row>
    <row r="75" spans="1:9" x14ac:dyDescent="0.3">
      <c r="A75" t="s">
        <v>247</v>
      </c>
      <c r="B75">
        <f>MONTH(financial_status[[#This Row],[Date]])</f>
        <v>7</v>
      </c>
      <c r="C75">
        <f>YEAR(financial_status[[#This Row],[Date]])</f>
        <v>2022</v>
      </c>
      <c r="D75" t="s">
        <v>21</v>
      </c>
      <c r="E75" t="s">
        <v>19</v>
      </c>
      <c r="F75">
        <v>54330</v>
      </c>
      <c r="G75">
        <v>49470</v>
      </c>
      <c r="H75">
        <v>4860</v>
      </c>
      <c r="I75">
        <v>11976</v>
      </c>
    </row>
    <row r="76" spans="1:9" x14ac:dyDescent="0.3">
      <c r="A76" t="s">
        <v>120</v>
      </c>
      <c r="B76">
        <f>MONTH(financial_status[[#This Row],[Date]])</f>
        <v>7</v>
      </c>
      <c r="C76">
        <f>YEAR(financial_status[[#This Row],[Date]])</f>
        <v>2022</v>
      </c>
      <c r="D76" t="s">
        <v>15</v>
      </c>
      <c r="E76" t="s">
        <v>19</v>
      </c>
      <c r="F76">
        <v>21157</v>
      </c>
      <c r="G76">
        <v>31279</v>
      </c>
      <c r="H76">
        <v>-10122</v>
      </c>
      <c r="I76">
        <v>11890</v>
      </c>
    </row>
    <row r="77" spans="1:9" x14ac:dyDescent="0.3">
      <c r="A77" t="s">
        <v>182</v>
      </c>
      <c r="B77">
        <f>MONTH(financial_status[[#This Row],[Date]])</f>
        <v>7</v>
      </c>
      <c r="C77">
        <f>YEAR(financial_status[[#This Row],[Date]])</f>
        <v>2022</v>
      </c>
      <c r="D77" t="s">
        <v>21</v>
      </c>
      <c r="E77" t="s">
        <v>23</v>
      </c>
      <c r="F77">
        <v>69227</v>
      </c>
      <c r="G77">
        <v>34851</v>
      </c>
      <c r="H77">
        <v>34376</v>
      </c>
      <c r="I77">
        <v>19231</v>
      </c>
    </row>
    <row r="78" spans="1:9" x14ac:dyDescent="0.3">
      <c r="A78" t="s">
        <v>127</v>
      </c>
      <c r="B78">
        <f>MONTH(financial_status[[#This Row],[Date]])</f>
        <v>7</v>
      </c>
      <c r="C78">
        <f>YEAR(financial_status[[#This Row],[Date]])</f>
        <v>2022</v>
      </c>
      <c r="D78" t="s">
        <v>21</v>
      </c>
      <c r="E78" t="s">
        <v>12</v>
      </c>
      <c r="F78">
        <v>103576</v>
      </c>
      <c r="G78">
        <v>19333</v>
      </c>
      <c r="H78">
        <v>84243</v>
      </c>
      <c r="I78">
        <v>3415</v>
      </c>
    </row>
    <row r="79" spans="1:9" x14ac:dyDescent="0.3">
      <c r="A79" t="s">
        <v>24</v>
      </c>
      <c r="B79">
        <f>MONTH(financial_status[[#This Row],[Date]])</f>
        <v>7</v>
      </c>
      <c r="C79">
        <f>YEAR(financial_status[[#This Row],[Date]])</f>
        <v>2022</v>
      </c>
      <c r="D79" t="s">
        <v>15</v>
      </c>
      <c r="E79" t="s">
        <v>19</v>
      </c>
      <c r="F79">
        <v>26253</v>
      </c>
      <c r="G79">
        <v>67971</v>
      </c>
      <c r="H79">
        <v>-41718</v>
      </c>
      <c r="I79">
        <v>11207</v>
      </c>
    </row>
    <row r="80" spans="1:9" x14ac:dyDescent="0.3">
      <c r="A80" t="s">
        <v>36</v>
      </c>
      <c r="B80">
        <f>MONTH(financial_status[[#This Row],[Date]])</f>
        <v>8</v>
      </c>
      <c r="C80">
        <f>YEAR(financial_status[[#This Row],[Date]])</f>
        <v>2022</v>
      </c>
      <c r="D80" t="s">
        <v>11</v>
      </c>
      <c r="E80" t="s">
        <v>12</v>
      </c>
      <c r="F80">
        <v>86989</v>
      </c>
      <c r="G80">
        <v>76869</v>
      </c>
      <c r="H80">
        <v>10120</v>
      </c>
      <c r="I80">
        <v>15944</v>
      </c>
    </row>
    <row r="81" spans="1:9" x14ac:dyDescent="0.3">
      <c r="A81" t="s">
        <v>18</v>
      </c>
      <c r="B81">
        <f>MONTH(financial_status[[#This Row],[Date]])</f>
        <v>8</v>
      </c>
      <c r="C81">
        <f>YEAR(financial_status[[#This Row],[Date]])</f>
        <v>2022</v>
      </c>
      <c r="D81" t="s">
        <v>11</v>
      </c>
      <c r="E81" t="s">
        <v>19</v>
      </c>
      <c r="F81">
        <v>81051</v>
      </c>
      <c r="G81">
        <v>36347</v>
      </c>
      <c r="H81">
        <v>44704</v>
      </c>
      <c r="I81">
        <v>16670</v>
      </c>
    </row>
    <row r="82" spans="1:9" x14ac:dyDescent="0.3">
      <c r="A82" t="s">
        <v>78</v>
      </c>
      <c r="B82">
        <f>MONTH(financial_status[[#This Row],[Date]])</f>
        <v>8</v>
      </c>
      <c r="C82">
        <f>YEAR(financial_status[[#This Row],[Date]])</f>
        <v>2022</v>
      </c>
      <c r="D82" t="s">
        <v>8</v>
      </c>
      <c r="E82" t="s">
        <v>9</v>
      </c>
      <c r="F82">
        <v>91227</v>
      </c>
      <c r="G82">
        <v>83672</v>
      </c>
      <c r="H82">
        <v>7555</v>
      </c>
      <c r="I82">
        <v>16816</v>
      </c>
    </row>
    <row r="83" spans="1:9" x14ac:dyDescent="0.3">
      <c r="A83" t="s">
        <v>104</v>
      </c>
      <c r="B83">
        <f>MONTH(financial_status[[#This Row],[Date]])</f>
        <v>8</v>
      </c>
      <c r="C83">
        <f>YEAR(financial_status[[#This Row],[Date]])</f>
        <v>2022</v>
      </c>
      <c r="D83" t="s">
        <v>8</v>
      </c>
      <c r="E83" t="s">
        <v>23</v>
      </c>
      <c r="F83">
        <v>87401</v>
      </c>
      <c r="G83">
        <v>55228</v>
      </c>
      <c r="H83">
        <v>32173</v>
      </c>
      <c r="I83">
        <v>2841</v>
      </c>
    </row>
    <row r="84" spans="1:9" x14ac:dyDescent="0.3">
      <c r="A84" t="s">
        <v>104</v>
      </c>
      <c r="B84">
        <f>MONTH(financial_status[[#This Row],[Date]])</f>
        <v>8</v>
      </c>
      <c r="C84">
        <f>YEAR(financial_status[[#This Row],[Date]])</f>
        <v>2022</v>
      </c>
      <c r="D84" t="s">
        <v>21</v>
      </c>
      <c r="E84" t="s">
        <v>9</v>
      </c>
      <c r="F84">
        <v>31442</v>
      </c>
      <c r="G84">
        <v>34065</v>
      </c>
      <c r="H84">
        <v>-2623</v>
      </c>
      <c r="I84">
        <v>14024</v>
      </c>
    </row>
    <row r="85" spans="1:9" x14ac:dyDescent="0.3">
      <c r="A85" t="s">
        <v>104</v>
      </c>
      <c r="B85">
        <f>MONTH(financial_status[[#This Row],[Date]])</f>
        <v>8</v>
      </c>
      <c r="C85">
        <f>YEAR(financial_status[[#This Row],[Date]])</f>
        <v>2022</v>
      </c>
      <c r="D85" t="s">
        <v>11</v>
      </c>
      <c r="E85" t="s">
        <v>12</v>
      </c>
      <c r="F85">
        <v>101047</v>
      </c>
      <c r="G85">
        <v>48001</v>
      </c>
      <c r="H85">
        <v>53046</v>
      </c>
      <c r="I85">
        <v>7743</v>
      </c>
    </row>
    <row r="86" spans="1:9" x14ac:dyDescent="0.3">
      <c r="A86" t="s">
        <v>230</v>
      </c>
      <c r="B86">
        <f>MONTH(financial_status[[#This Row],[Date]])</f>
        <v>8</v>
      </c>
      <c r="C86">
        <f>YEAR(financial_status[[#This Row],[Date]])</f>
        <v>2022</v>
      </c>
      <c r="D86" t="s">
        <v>11</v>
      </c>
      <c r="E86" t="s">
        <v>23</v>
      </c>
      <c r="F86">
        <v>41779</v>
      </c>
      <c r="G86">
        <v>12664</v>
      </c>
      <c r="H86">
        <v>29115</v>
      </c>
      <c r="I86">
        <v>10086</v>
      </c>
    </row>
    <row r="87" spans="1:9" x14ac:dyDescent="0.3">
      <c r="A87" t="s">
        <v>141</v>
      </c>
      <c r="B87">
        <f>MONTH(financial_status[[#This Row],[Date]])</f>
        <v>8</v>
      </c>
      <c r="C87">
        <f>YEAR(financial_status[[#This Row],[Date]])</f>
        <v>2022</v>
      </c>
      <c r="D87" t="s">
        <v>8</v>
      </c>
      <c r="E87" t="s">
        <v>19</v>
      </c>
      <c r="F87">
        <v>50215</v>
      </c>
      <c r="G87">
        <v>22813</v>
      </c>
      <c r="H87">
        <v>27402</v>
      </c>
      <c r="I87">
        <v>17751</v>
      </c>
    </row>
    <row r="88" spans="1:9" x14ac:dyDescent="0.3">
      <c r="A88" t="s">
        <v>263</v>
      </c>
      <c r="B88">
        <f>MONTH(financial_status[[#This Row],[Date]])</f>
        <v>8</v>
      </c>
      <c r="C88">
        <f>YEAR(financial_status[[#This Row],[Date]])</f>
        <v>2022</v>
      </c>
      <c r="D88" t="s">
        <v>15</v>
      </c>
      <c r="E88" t="s">
        <v>19</v>
      </c>
      <c r="F88">
        <v>105493</v>
      </c>
      <c r="G88">
        <v>74761</v>
      </c>
      <c r="H88">
        <v>30732</v>
      </c>
      <c r="I88">
        <v>13571</v>
      </c>
    </row>
    <row r="89" spans="1:9" x14ac:dyDescent="0.3">
      <c r="A89" t="s">
        <v>152</v>
      </c>
      <c r="B89">
        <f>MONTH(financial_status[[#This Row],[Date]])</f>
        <v>8</v>
      </c>
      <c r="C89">
        <f>YEAR(financial_status[[#This Row],[Date]])</f>
        <v>2022</v>
      </c>
      <c r="D89" t="s">
        <v>21</v>
      </c>
      <c r="E89" t="s">
        <v>23</v>
      </c>
      <c r="F89">
        <v>58204</v>
      </c>
      <c r="G89">
        <v>65320</v>
      </c>
      <c r="H89">
        <v>-7116</v>
      </c>
      <c r="I89">
        <v>17705</v>
      </c>
    </row>
    <row r="90" spans="1:9" x14ac:dyDescent="0.3">
      <c r="A90" t="s">
        <v>88</v>
      </c>
      <c r="B90">
        <f>MONTH(financial_status[[#This Row],[Date]])</f>
        <v>8</v>
      </c>
      <c r="C90">
        <f>YEAR(financial_status[[#This Row],[Date]])</f>
        <v>2022</v>
      </c>
      <c r="D90" t="s">
        <v>11</v>
      </c>
      <c r="E90" t="s">
        <v>19</v>
      </c>
      <c r="F90">
        <v>23437</v>
      </c>
      <c r="G90">
        <v>40344</v>
      </c>
      <c r="H90">
        <v>-16907</v>
      </c>
      <c r="I90">
        <v>14061</v>
      </c>
    </row>
    <row r="91" spans="1:9" x14ac:dyDescent="0.3">
      <c r="A91" t="s">
        <v>154</v>
      </c>
      <c r="B91">
        <f>MONTH(financial_status[[#This Row],[Date]])</f>
        <v>8</v>
      </c>
      <c r="C91">
        <f>YEAR(financial_status[[#This Row],[Date]])</f>
        <v>2022</v>
      </c>
      <c r="D91" t="s">
        <v>11</v>
      </c>
      <c r="E91" t="s">
        <v>23</v>
      </c>
      <c r="F91">
        <v>49525</v>
      </c>
      <c r="G91">
        <v>17934</v>
      </c>
      <c r="H91">
        <v>31591</v>
      </c>
      <c r="I91">
        <v>9592</v>
      </c>
    </row>
    <row r="92" spans="1:9" x14ac:dyDescent="0.3">
      <c r="A92" t="s">
        <v>115</v>
      </c>
      <c r="B92">
        <f>MONTH(financial_status[[#This Row],[Date]])</f>
        <v>8</v>
      </c>
      <c r="C92">
        <f>YEAR(financial_status[[#This Row],[Date]])</f>
        <v>2022</v>
      </c>
      <c r="D92" t="s">
        <v>8</v>
      </c>
      <c r="E92" t="s">
        <v>23</v>
      </c>
      <c r="F92">
        <v>114648</v>
      </c>
      <c r="G92">
        <v>22737</v>
      </c>
      <c r="H92">
        <v>91911</v>
      </c>
      <c r="I92">
        <v>10635</v>
      </c>
    </row>
    <row r="93" spans="1:9" x14ac:dyDescent="0.3">
      <c r="A93" t="s">
        <v>253</v>
      </c>
      <c r="B93">
        <f>MONTH(financial_status[[#This Row],[Date]])</f>
        <v>8</v>
      </c>
      <c r="C93">
        <f>YEAR(financial_status[[#This Row],[Date]])</f>
        <v>2022</v>
      </c>
      <c r="D93" t="s">
        <v>21</v>
      </c>
      <c r="E93" t="s">
        <v>19</v>
      </c>
      <c r="F93">
        <v>117214</v>
      </c>
      <c r="G93">
        <v>23980</v>
      </c>
      <c r="H93">
        <v>93234</v>
      </c>
      <c r="I93">
        <v>16697</v>
      </c>
    </row>
    <row r="94" spans="1:9" x14ac:dyDescent="0.3">
      <c r="A94" t="s">
        <v>271</v>
      </c>
      <c r="B94">
        <f>MONTH(financial_status[[#This Row],[Date]])</f>
        <v>9</v>
      </c>
      <c r="C94">
        <f>YEAR(financial_status[[#This Row],[Date]])</f>
        <v>2022</v>
      </c>
      <c r="D94" t="s">
        <v>15</v>
      </c>
      <c r="E94" t="s">
        <v>19</v>
      </c>
      <c r="F94">
        <v>114949</v>
      </c>
      <c r="G94">
        <v>24287</v>
      </c>
      <c r="H94">
        <v>90662</v>
      </c>
      <c r="I94">
        <v>10516</v>
      </c>
    </row>
    <row r="95" spans="1:9" x14ac:dyDescent="0.3">
      <c r="A95" t="s">
        <v>225</v>
      </c>
      <c r="B95">
        <f>MONTH(financial_status[[#This Row],[Date]])</f>
        <v>9</v>
      </c>
      <c r="C95">
        <f>YEAR(financial_status[[#This Row],[Date]])</f>
        <v>2022</v>
      </c>
      <c r="D95" t="s">
        <v>8</v>
      </c>
      <c r="E95" t="s">
        <v>12</v>
      </c>
      <c r="F95">
        <v>102830</v>
      </c>
      <c r="G95">
        <v>87290</v>
      </c>
      <c r="H95">
        <v>15540</v>
      </c>
      <c r="I95">
        <v>7816</v>
      </c>
    </row>
    <row r="96" spans="1:9" x14ac:dyDescent="0.3">
      <c r="A96" t="s">
        <v>140</v>
      </c>
      <c r="B96">
        <f>MONTH(financial_status[[#This Row],[Date]])</f>
        <v>9</v>
      </c>
      <c r="C96">
        <f>YEAR(financial_status[[#This Row],[Date]])</f>
        <v>2022</v>
      </c>
      <c r="D96" t="s">
        <v>11</v>
      </c>
      <c r="E96" t="s">
        <v>12</v>
      </c>
      <c r="F96">
        <v>70038</v>
      </c>
      <c r="G96">
        <v>39675</v>
      </c>
      <c r="H96">
        <v>30363</v>
      </c>
      <c r="I96">
        <v>10032</v>
      </c>
    </row>
    <row r="97" spans="1:9" x14ac:dyDescent="0.3">
      <c r="A97" t="s">
        <v>177</v>
      </c>
      <c r="B97">
        <f>MONTH(financial_status[[#This Row],[Date]])</f>
        <v>9</v>
      </c>
      <c r="C97">
        <f>YEAR(financial_status[[#This Row],[Date]])</f>
        <v>2022</v>
      </c>
      <c r="D97" t="s">
        <v>11</v>
      </c>
      <c r="E97" t="s">
        <v>19</v>
      </c>
      <c r="F97">
        <v>53545</v>
      </c>
      <c r="G97">
        <v>57384</v>
      </c>
      <c r="H97">
        <v>-3839</v>
      </c>
      <c r="I97">
        <v>18470</v>
      </c>
    </row>
    <row r="98" spans="1:9" x14ac:dyDescent="0.3">
      <c r="A98" t="s">
        <v>87</v>
      </c>
      <c r="B98">
        <f>MONTH(financial_status[[#This Row],[Date]])</f>
        <v>9</v>
      </c>
      <c r="C98">
        <f>YEAR(financial_status[[#This Row],[Date]])</f>
        <v>2022</v>
      </c>
      <c r="D98" t="s">
        <v>11</v>
      </c>
      <c r="E98" t="s">
        <v>19</v>
      </c>
      <c r="F98">
        <v>27211</v>
      </c>
      <c r="G98">
        <v>70010</v>
      </c>
      <c r="H98">
        <v>-42799</v>
      </c>
      <c r="I98">
        <v>19420</v>
      </c>
    </row>
    <row r="99" spans="1:9" x14ac:dyDescent="0.3">
      <c r="A99" t="s">
        <v>171</v>
      </c>
      <c r="B99">
        <f>MONTH(financial_status[[#This Row],[Date]])</f>
        <v>9</v>
      </c>
      <c r="C99">
        <f>YEAR(financial_status[[#This Row],[Date]])</f>
        <v>2022</v>
      </c>
      <c r="D99" t="s">
        <v>15</v>
      </c>
      <c r="E99" t="s">
        <v>12</v>
      </c>
      <c r="F99">
        <v>81158</v>
      </c>
      <c r="G99">
        <v>28135</v>
      </c>
      <c r="H99">
        <v>53023</v>
      </c>
      <c r="I99">
        <v>8730</v>
      </c>
    </row>
    <row r="100" spans="1:9" x14ac:dyDescent="0.3">
      <c r="A100" t="s">
        <v>206</v>
      </c>
      <c r="B100">
        <f>MONTH(financial_status[[#This Row],[Date]])</f>
        <v>9</v>
      </c>
      <c r="C100">
        <f>YEAR(financial_status[[#This Row],[Date]])</f>
        <v>2022</v>
      </c>
      <c r="D100" t="s">
        <v>15</v>
      </c>
      <c r="E100" t="s">
        <v>12</v>
      </c>
      <c r="F100">
        <v>111137</v>
      </c>
      <c r="G100">
        <v>78260</v>
      </c>
      <c r="H100">
        <v>32877</v>
      </c>
      <c r="I100">
        <v>8517</v>
      </c>
    </row>
    <row r="101" spans="1:9" x14ac:dyDescent="0.3">
      <c r="A101" t="s">
        <v>157</v>
      </c>
      <c r="B101">
        <f>MONTH(financial_status[[#This Row],[Date]])</f>
        <v>9</v>
      </c>
      <c r="C101">
        <f>YEAR(financial_status[[#This Row],[Date]])</f>
        <v>2022</v>
      </c>
      <c r="D101" t="s">
        <v>11</v>
      </c>
      <c r="E101" t="s">
        <v>12</v>
      </c>
      <c r="F101">
        <v>70289</v>
      </c>
      <c r="G101">
        <v>32584</v>
      </c>
      <c r="H101">
        <v>37705</v>
      </c>
      <c r="I101">
        <v>18281</v>
      </c>
    </row>
    <row r="102" spans="1:9" x14ac:dyDescent="0.3">
      <c r="A102" t="s">
        <v>157</v>
      </c>
      <c r="B102">
        <f>MONTH(financial_status[[#This Row],[Date]])</f>
        <v>9</v>
      </c>
      <c r="C102">
        <f>YEAR(financial_status[[#This Row],[Date]])</f>
        <v>2022</v>
      </c>
      <c r="D102" t="s">
        <v>21</v>
      </c>
      <c r="E102" t="s">
        <v>19</v>
      </c>
      <c r="F102">
        <v>30471</v>
      </c>
      <c r="G102">
        <v>76374</v>
      </c>
      <c r="H102">
        <v>-45903</v>
      </c>
      <c r="I102">
        <v>3996</v>
      </c>
    </row>
    <row r="103" spans="1:9" x14ac:dyDescent="0.3">
      <c r="A103" t="s">
        <v>192</v>
      </c>
      <c r="B103">
        <f>MONTH(financial_status[[#This Row],[Date]])</f>
        <v>9</v>
      </c>
      <c r="C103">
        <f>YEAR(financial_status[[#This Row],[Date]])</f>
        <v>2022</v>
      </c>
      <c r="D103" t="s">
        <v>11</v>
      </c>
      <c r="E103" t="s">
        <v>19</v>
      </c>
      <c r="F103">
        <v>21497</v>
      </c>
      <c r="G103">
        <v>30213</v>
      </c>
      <c r="H103">
        <v>-8716</v>
      </c>
      <c r="I103">
        <v>16803</v>
      </c>
    </row>
    <row r="104" spans="1:9" x14ac:dyDescent="0.3">
      <c r="A104" t="s">
        <v>57</v>
      </c>
      <c r="B104">
        <f>MONTH(financial_status[[#This Row],[Date]])</f>
        <v>10</v>
      </c>
      <c r="C104">
        <f>YEAR(financial_status[[#This Row],[Date]])</f>
        <v>2022</v>
      </c>
      <c r="D104" t="s">
        <v>8</v>
      </c>
      <c r="E104" t="s">
        <v>9</v>
      </c>
      <c r="F104">
        <v>21060</v>
      </c>
      <c r="G104">
        <v>78168</v>
      </c>
      <c r="H104">
        <v>-57108</v>
      </c>
      <c r="I104">
        <v>6112</v>
      </c>
    </row>
    <row r="105" spans="1:9" x14ac:dyDescent="0.3">
      <c r="A105" t="s">
        <v>57</v>
      </c>
      <c r="B105">
        <f>MONTH(financial_status[[#This Row],[Date]])</f>
        <v>10</v>
      </c>
      <c r="C105">
        <f>YEAR(financial_status[[#This Row],[Date]])</f>
        <v>2022</v>
      </c>
      <c r="D105" t="s">
        <v>8</v>
      </c>
      <c r="E105" t="s">
        <v>19</v>
      </c>
      <c r="F105">
        <v>98821</v>
      </c>
      <c r="G105">
        <v>66204</v>
      </c>
      <c r="H105">
        <v>32617</v>
      </c>
      <c r="I105">
        <v>8257</v>
      </c>
    </row>
    <row r="106" spans="1:9" x14ac:dyDescent="0.3">
      <c r="A106" t="s">
        <v>57</v>
      </c>
      <c r="B106">
        <f>MONTH(financial_status[[#This Row],[Date]])</f>
        <v>10</v>
      </c>
      <c r="C106">
        <f>YEAR(financial_status[[#This Row],[Date]])</f>
        <v>2022</v>
      </c>
      <c r="D106" t="s">
        <v>11</v>
      </c>
      <c r="E106" t="s">
        <v>12</v>
      </c>
      <c r="F106">
        <v>31531</v>
      </c>
      <c r="G106">
        <v>89170</v>
      </c>
      <c r="H106">
        <v>-57639</v>
      </c>
      <c r="I106">
        <v>13505</v>
      </c>
    </row>
    <row r="107" spans="1:9" x14ac:dyDescent="0.3">
      <c r="A107" t="s">
        <v>194</v>
      </c>
      <c r="B107">
        <f>MONTH(financial_status[[#This Row],[Date]])</f>
        <v>10</v>
      </c>
      <c r="C107">
        <f>YEAR(financial_status[[#This Row],[Date]])</f>
        <v>2022</v>
      </c>
      <c r="D107" t="s">
        <v>21</v>
      </c>
      <c r="E107" t="s">
        <v>23</v>
      </c>
      <c r="F107">
        <v>108263</v>
      </c>
      <c r="G107">
        <v>82647</v>
      </c>
      <c r="H107">
        <v>25616</v>
      </c>
      <c r="I107">
        <v>12570</v>
      </c>
    </row>
    <row r="108" spans="1:9" x14ac:dyDescent="0.3">
      <c r="A108" t="s">
        <v>186</v>
      </c>
      <c r="B108">
        <f>MONTH(financial_status[[#This Row],[Date]])</f>
        <v>10</v>
      </c>
      <c r="C108">
        <f>YEAR(financial_status[[#This Row],[Date]])</f>
        <v>2022</v>
      </c>
      <c r="D108" t="s">
        <v>8</v>
      </c>
      <c r="E108" t="s">
        <v>23</v>
      </c>
      <c r="F108">
        <v>94611</v>
      </c>
      <c r="G108">
        <v>30844</v>
      </c>
      <c r="H108">
        <v>63767</v>
      </c>
      <c r="I108">
        <v>2885</v>
      </c>
    </row>
    <row r="109" spans="1:9" x14ac:dyDescent="0.3">
      <c r="A109" t="s">
        <v>90</v>
      </c>
      <c r="B109">
        <f>MONTH(financial_status[[#This Row],[Date]])</f>
        <v>10</v>
      </c>
      <c r="C109">
        <f>YEAR(financial_status[[#This Row],[Date]])</f>
        <v>2022</v>
      </c>
      <c r="D109" t="s">
        <v>11</v>
      </c>
      <c r="E109" t="s">
        <v>19</v>
      </c>
      <c r="F109">
        <v>106633</v>
      </c>
      <c r="G109">
        <v>16674</v>
      </c>
      <c r="H109">
        <v>89959</v>
      </c>
      <c r="I109">
        <v>13468</v>
      </c>
    </row>
    <row r="110" spans="1:9" x14ac:dyDescent="0.3">
      <c r="A110" t="s">
        <v>131</v>
      </c>
      <c r="B110">
        <f>MONTH(financial_status[[#This Row],[Date]])</f>
        <v>10</v>
      </c>
      <c r="C110">
        <f>YEAR(financial_status[[#This Row],[Date]])</f>
        <v>2022</v>
      </c>
      <c r="D110" t="s">
        <v>8</v>
      </c>
      <c r="E110" t="s">
        <v>23</v>
      </c>
      <c r="F110">
        <v>119731</v>
      </c>
      <c r="G110">
        <v>76539</v>
      </c>
      <c r="H110">
        <v>43192</v>
      </c>
      <c r="I110">
        <v>6313</v>
      </c>
    </row>
    <row r="111" spans="1:9" x14ac:dyDescent="0.3">
      <c r="A111" t="s">
        <v>167</v>
      </c>
      <c r="B111">
        <f>MONTH(financial_status[[#This Row],[Date]])</f>
        <v>10</v>
      </c>
      <c r="C111">
        <f>YEAR(financial_status[[#This Row],[Date]])</f>
        <v>2022</v>
      </c>
      <c r="D111" t="s">
        <v>8</v>
      </c>
      <c r="E111" t="s">
        <v>23</v>
      </c>
      <c r="F111">
        <v>92414</v>
      </c>
      <c r="G111">
        <v>14876</v>
      </c>
      <c r="H111">
        <v>77538</v>
      </c>
      <c r="I111">
        <v>10651</v>
      </c>
    </row>
    <row r="112" spans="1:9" x14ac:dyDescent="0.3">
      <c r="A112" t="s">
        <v>54</v>
      </c>
      <c r="B112">
        <f>MONTH(financial_status[[#This Row],[Date]])</f>
        <v>10</v>
      </c>
      <c r="C112">
        <f>YEAR(financial_status[[#This Row],[Date]])</f>
        <v>2022</v>
      </c>
      <c r="D112" t="s">
        <v>21</v>
      </c>
      <c r="E112" t="s">
        <v>19</v>
      </c>
      <c r="F112">
        <v>98814</v>
      </c>
      <c r="G112">
        <v>26876</v>
      </c>
      <c r="H112">
        <v>71938</v>
      </c>
      <c r="I112">
        <v>6731</v>
      </c>
    </row>
    <row r="113" spans="1:9" x14ac:dyDescent="0.3">
      <c r="A113" t="s">
        <v>54</v>
      </c>
      <c r="B113">
        <f>MONTH(financial_status[[#This Row],[Date]])</f>
        <v>10</v>
      </c>
      <c r="C113">
        <f>YEAR(financial_status[[#This Row],[Date]])</f>
        <v>2022</v>
      </c>
      <c r="D113" t="s">
        <v>15</v>
      </c>
      <c r="E113" t="s">
        <v>23</v>
      </c>
      <c r="F113">
        <v>75317</v>
      </c>
      <c r="G113">
        <v>44555</v>
      </c>
      <c r="H113">
        <v>30762</v>
      </c>
      <c r="I113">
        <v>18880</v>
      </c>
    </row>
    <row r="114" spans="1:9" x14ac:dyDescent="0.3">
      <c r="A114" t="s">
        <v>17</v>
      </c>
      <c r="B114">
        <f>MONTH(financial_status[[#This Row],[Date]])</f>
        <v>10</v>
      </c>
      <c r="C114">
        <f>YEAR(financial_status[[#This Row],[Date]])</f>
        <v>2022</v>
      </c>
      <c r="D114" t="s">
        <v>8</v>
      </c>
      <c r="E114" t="s">
        <v>12</v>
      </c>
      <c r="F114">
        <v>71149</v>
      </c>
      <c r="G114">
        <v>77673</v>
      </c>
      <c r="H114">
        <v>-6524</v>
      </c>
      <c r="I114">
        <v>3228</v>
      </c>
    </row>
    <row r="115" spans="1:9" x14ac:dyDescent="0.3">
      <c r="A115" t="s">
        <v>17</v>
      </c>
      <c r="B115">
        <f>MONTH(financial_status[[#This Row],[Date]])</f>
        <v>10</v>
      </c>
      <c r="C115">
        <f>YEAR(financial_status[[#This Row],[Date]])</f>
        <v>2022</v>
      </c>
      <c r="D115" t="s">
        <v>8</v>
      </c>
      <c r="E115" t="s">
        <v>19</v>
      </c>
      <c r="F115">
        <v>117172</v>
      </c>
      <c r="G115">
        <v>39082</v>
      </c>
      <c r="H115">
        <v>78090</v>
      </c>
      <c r="I115">
        <v>2860</v>
      </c>
    </row>
    <row r="116" spans="1:9" x14ac:dyDescent="0.3">
      <c r="A116" t="s">
        <v>248</v>
      </c>
      <c r="B116">
        <f>MONTH(financial_status[[#This Row],[Date]])</f>
        <v>10</v>
      </c>
      <c r="C116">
        <f>YEAR(financial_status[[#This Row],[Date]])</f>
        <v>2022</v>
      </c>
      <c r="D116" t="s">
        <v>15</v>
      </c>
      <c r="E116" t="s">
        <v>9</v>
      </c>
      <c r="F116">
        <v>105810</v>
      </c>
      <c r="G116">
        <v>74388</v>
      </c>
      <c r="H116">
        <v>31422</v>
      </c>
      <c r="I116">
        <v>5561</v>
      </c>
    </row>
    <row r="117" spans="1:9" x14ac:dyDescent="0.3">
      <c r="A117" t="s">
        <v>72</v>
      </c>
      <c r="B117">
        <f>MONTH(financial_status[[#This Row],[Date]])</f>
        <v>10</v>
      </c>
      <c r="C117">
        <f>YEAR(financial_status[[#This Row],[Date]])</f>
        <v>2022</v>
      </c>
      <c r="D117" t="s">
        <v>15</v>
      </c>
      <c r="E117" t="s">
        <v>23</v>
      </c>
      <c r="F117">
        <v>34851</v>
      </c>
      <c r="G117">
        <v>34299</v>
      </c>
      <c r="H117">
        <v>552</v>
      </c>
      <c r="I117">
        <v>9496</v>
      </c>
    </row>
    <row r="118" spans="1:9" x14ac:dyDescent="0.3">
      <c r="A118" t="s">
        <v>85</v>
      </c>
      <c r="B118">
        <f>MONTH(financial_status[[#This Row],[Date]])</f>
        <v>10</v>
      </c>
      <c r="C118">
        <f>YEAR(financial_status[[#This Row],[Date]])</f>
        <v>2022</v>
      </c>
      <c r="D118" t="s">
        <v>8</v>
      </c>
      <c r="E118" t="s">
        <v>23</v>
      </c>
      <c r="F118">
        <v>46447</v>
      </c>
      <c r="G118">
        <v>77316</v>
      </c>
      <c r="H118">
        <v>-30869</v>
      </c>
      <c r="I118">
        <v>14144</v>
      </c>
    </row>
    <row r="119" spans="1:9" x14ac:dyDescent="0.3">
      <c r="A119" t="s">
        <v>103</v>
      </c>
      <c r="B119">
        <f>MONTH(financial_status[[#This Row],[Date]])</f>
        <v>11</v>
      </c>
      <c r="C119">
        <f>YEAR(financial_status[[#This Row],[Date]])</f>
        <v>2022</v>
      </c>
      <c r="D119" t="s">
        <v>15</v>
      </c>
      <c r="E119" t="s">
        <v>23</v>
      </c>
      <c r="F119">
        <v>110127</v>
      </c>
      <c r="G119">
        <v>51833</v>
      </c>
      <c r="H119">
        <v>58294</v>
      </c>
      <c r="I119">
        <v>8508</v>
      </c>
    </row>
    <row r="120" spans="1:9" x14ac:dyDescent="0.3">
      <c r="A120" t="s">
        <v>135</v>
      </c>
      <c r="B120">
        <f>MONTH(financial_status[[#This Row],[Date]])</f>
        <v>11</v>
      </c>
      <c r="C120">
        <f>YEAR(financial_status[[#This Row],[Date]])</f>
        <v>2022</v>
      </c>
      <c r="D120" t="s">
        <v>11</v>
      </c>
      <c r="E120" t="s">
        <v>12</v>
      </c>
      <c r="F120">
        <v>60496</v>
      </c>
      <c r="G120">
        <v>15036</v>
      </c>
      <c r="H120">
        <v>45460</v>
      </c>
      <c r="I120">
        <v>11193</v>
      </c>
    </row>
    <row r="121" spans="1:9" x14ac:dyDescent="0.3">
      <c r="A121" t="s">
        <v>97</v>
      </c>
      <c r="B121">
        <f>MONTH(financial_status[[#This Row],[Date]])</f>
        <v>11</v>
      </c>
      <c r="C121">
        <f>YEAR(financial_status[[#This Row],[Date]])</f>
        <v>2022</v>
      </c>
      <c r="D121" t="s">
        <v>21</v>
      </c>
      <c r="E121" t="s">
        <v>9</v>
      </c>
      <c r="F121">
        <v>44976</v>
      </c>
      <c r="G121">
        <v>47111</v>
      </c>
      <c r="H121">
        <v>-2135</v>
      </c>
      <c r="I121">
        <v>9809</v>
      </c>
    </row>
    <row r="122" spans="1:9" x14ac:dyDescent="0.3">
      <c r="A122" t="s">
        <v>97</v>
      </c>
      <c r="B122">
        <f>MONTH(financial_status[[#This Row],[Date]])</f>
        <v>11</v>
      </c>
      <c r="C122">
        <f>YEAR(financial_status[[#This Row],[Date]])</f>
        <v>2022</v>
      </c>
      <c r="D122" t="s">
        <v>15</v>
      </c>
      <c r="E122" t="s">
        <v>19</v>
      </c>
      <c r="F122">
        <v>91182</v>
      </c>
      <c r="G122">
        <v>45415</v>
      </c>
      <c r="H122">
        <v>45767</v>
      </c>
      <c r="I122">
        <v>8959</v>
      </c>
    </row>
    <row r="123" spans="1:9" x14ac:dyDescent="0.3">
      <c r="A123" t="s">
        <v>98</v>
      </c>
      <c r="B123">
        <f>MONTH(financial_status[[#This Row],[Date]])</f>
        <v>11</v>
      </c>
      <c r="C123">
        <f>YEAR(financial_status[[#This Row],[Date]])</f>
        <v>2022</v>
      </c>
      <c r="D123" t="s">
        <v>8</v>
      </c>
      <c r="E123" t="s">
        <v>23</v>
      </c>
      <c r="F123">
        <v>119058</v>
      </c>
      <c r="G123">
        <v>38287</v>
      </c>
      <c r="H123">
        <v>80771</v>
      </c>
      <c r="I123">
        <v>2958</v>
      </c>
    </row>
    <row r="124" spans="1:9" x14ac:dyDescent="0.3">
      <c r="A124" t="s">
        <v>259</v>
      </c>
      <c r="B124">
        <f>MONTH(financial_status[[#This Row],[Date]])</f>
        <v>11</v>
      </c>
      <c r="C124">
        <f>YEAR(financial_status[[#This Row],[Date]])</f>
        <v>2022</v>
      </c>
      <c r="D124" t="s">
        <v>21</v>
      </c>
      <c r="E124" t="s">
        <v>19</v>
      </c>
      <c r="F124">
        <v>95103</v>
      </c>
      <c r="G124">
        <v>74203</v>
      </c>
      <c r="H124">
        <v>20900</v>
      </c>
      <c r="I124">
        <v>6201</v>
      </c>
    </row>
    <row r="125" spans="1:9" x14ac:dyDescent="0.3">
      <c r="A125" t="s">
        <v>64</v>
      </c>
      <c r="B125">
        <f>MONTH(financial_status[[#This Row],[Date]])</f>
        <v>11</v>
      </c>
      <c r="C125">
        <f>YEAR(financial_status[[#This Row],[Date]])</f>
        <v>2022</v>
      </c>
      <c r="D125" t="s">
        <v>21</v>
      </c>
      <c r="E125" t="s">
        <v>23</v>
      </c>
      <c r="F125">
        <v>50452</v>
      </c>
      <c r="G125">
        <v>80512</v>
      </c>
      <c r="H125">
        <v>-30060</v>
      </c>
      <c r="I125">
        <v>4553</v>
      </c>
    </row>
    <row r="126" spans="1:9" x14ac:dyDescent="0.3">
      <c r="A126" t="s">
        <v>84</v>
      </c>
      <c r="B126">
        <f>MONTH(financial_status[[#This Row],[Date]])</f>
        <v>11</v>
      </c>
      <c r="C126">
        <f>YEAR(financial_status[[#This Row],[Date]])</f>
        <v>2022</v>
      </c>
      <c r="D126" t="s">
        <v>8</v>
      </c>
      <c r="E126" t="s">
        <v>23</v>
      </c>
      <c r="F126">
        <v>44075</v>
      </c>
      <c r="G126">
        <v>82307</v>
      </c>
      <c r="H126">
        <v>-38232</v>
      </c>
      <c r="I126">
        <v>18026</v>
      </c>
    </row>
    <row r="127" spans="1:9" x14ac:dyDescent="0.3">
      <c r="A127" t="s">
        <v>84</v>
      </c>
      <c r="B127">
        <f>MONTH(financial_status[[#This Row],[Date]])</f>
        <v>11</v>
      </c>
      <c r="C127">
        <f>YEAR(financial_status[[#This Row],[Date]])</f>
        <v>2022</v>
      </c>
      <c r="D127" t="s">
        <v>11</v>
      </c>
      <c r="E127" t="s">
        <v>12</v>
      </c>
      <c r="F127">
        <v>99687</v>
      </c>
      <c r="G127">
        <v>38589</v>
      </c>
      <c r="H127">
        <v>61098</v>
      </c>
      <c r="I127">
        <v>15214</v>
      </c>
    </row>
    <row r="128" spans="1:9" x14ac:dyDescent="0.3">
      <c r="A128" t="s">
        <v>221</v>
      </c>
      <c r="B128">
        <f>MONTH(financial_status[[#This Row],[Date]])</f>
        <v>11</v>
      </c>
      <c r="C128">
        <f>YEAR(financial_status[[#This Row],[Date]])</f>
        <v>2022</v>
      </c>
      <c r="D128" t="s">
        <v>21</v>
      </c>
      <c r="E128" t="s">
        <v>23</v>
      </c>
      <c r="F128">
        <v>72154</v>
      </c>
      <c r="G128">
        <v>30805</v>
      </c>
      <c r="H128">
        <v>41349</v>
      </c>
      <c r="I128">
        <v>9763</v>
      </c>
    </row>
    <row r="129" spans="1:9" x14ac:dyDescent="0.3">
      <c r="A129" t="s">
        <v>270</v>
      </c>
      <c r="B129">
        <f>MONTH(financial_status[[#This Row],[Date]])</f>
        <v>12</v>
      </c>
      <c r="C129">
        <f>YEAR(financial_status[[#This Row],[Date]])</f>
        <v>2022</v>
      </c>
      <c r="D129" t="s">
        <v>15</v>
      </c>
      <c r="E129" t="s">
        <v>19</v>
      </c>
      <c r="F129">
        <v>34901</v>
      </c>
      <c r="G129">
        <v>73510</v>
      </c>
      <c r="H129">
        <v>-38609</v>
      </c>
      <c r="I129">
        <v>2889</v>
      </c>
    </row>
    <row r="130" spans="1:9" x14ac:dyDescent="0.3">
      <c r="A130" t="s">
        <v>144</v>
      </c>
      <c r="B130">
        <f>MONTH(financial_status[[#This Row],[Date]])</f>
        <v>12</v>
      </c>
      <c r="C130">
        <f>YEAR(financial_status[[#This Row],[Date]])</f>
        <v>2022</v>
      </c>
      <c r="D130" t="s">
        <v>21</v>
      </c>
      <c r="E130" t="s">
        <v>23</v>
      </c>
      <c r="F130">
        <v>81930</v>
      </c>
      <c r="G130">
        <v>66084</v>
      </c>
      <c r="H130">
        <v>15846</v>
      </c>
      <c r="I130">
        <v>18790</v>
      </c>
    </row>
    <row r="131" spans="1:9" x14ac:dyDescent="0.3">
      <c r="A131" t="s">
        <v>48</v>
      </c>
      <c r="B131">
        <f>MONTH(financial_status[[#This Row],[Date]])</f>
        <v>12</v>
      </c>
      <c r="C131">
        <f>YEAR(financial_status[[#This Row],[Date]])</f>
        <v>2022</v>
      </c>
      <c r="D131" t="s">
        <v>15</v>
      </c>
      <c r="E131" t="s">
        <v>19</v>
      </c>
      <c r="F131">
        <v>108465</v>
      </c>
      <c r="G131">
        <v>71164</v>
      </c>
      <c r="H131">
        <v>37301</v>
      </c>
      <c r="I131">
        <v>9311</v>
      </c>
    </row>
    <row r="132" spans="1:9" x14ac:dyDescent="0.3">
      <c r="A132" t="s">
        <v>125</v>
      </c>
      <c r="B132">
        <f>MONTH(financial_status[[#This Row],[Date]])</f>
        <v>12</v>
      </c>
      <c r="C132">
        <f>YEAR(financial_status[[#This Row],[Date]])</f>
        <v>2022</v>
      </c>
      <c r="D132" t="s">
        <v>11</v>
      </c>
      <c r="E132" t="s">
        <v>19</v>
      </c>
      <c r="F132">
        <v>66584</v>
      </c>
      <c r="G132">
        <v>87584</v>
      </c>
      <c r="H132">
        <v>-21000</v>
      </c>
      <c r="I132">
        <v>9775</v>
      </c>
    </row>
    <row r="133" spans="1:9" x14ac:dyDescent="0.3">
      <c r="A133" t="s">
        <v>101</v>
      </c>
      <c r="B133">
        <f>MONTH(financial_status[[#This Row],[Date]])</f>
        <v>12</v>
      </c>
      <c r="C133">
        <f>YEAR(financial_status[[#This Row],[Date]])</f>
        <v>2022</v>
      </c>
      <c r="D133" t="s">
        <v>21</v>
      </c>
      <c r="E133" t="s">
        <v>23</v>
      </c>
      <c r="F133">
        <v>52886</v>
      </c>
      <c r="G133">
        <v>50332</v>
      </c>
      <c r="H133">
        <v>2554</v>
      </c>
      <c r="I133">
        <v>13446</v>
      </c>
    </row>
    <row r="134" spans="1:9" x14ac:dyDescent="0.3">
      <c r="A134" t="s">
        <v>96</v>
      </c>
      <c r="B134">
        <f>MONTH(financial_status[[#This Row],[Date]])</f>
        <v>12</v>
      </c>
      <c r="C134">
        <f>YEAR(financial_status[[#This Row],[Date]])</f>
        <v>2022</v>
      </c>
      <c r="D134" t="s">
        <v>11</v>
      </c>
      <c r="E134" t="s">
        <v>12</v>
      </c>
      <c r="F134">
        <v>62301</v>
      </c>
      <c r="G134">
        <v>27203</v>
      </c>
      <c r="H134">
        <v>35098</v>
      </c>
      <c r="I134">
        <v>15246</v>
      </c>
    </row>
    <row r="135" spans="1:9" x14ac:dyDescent="0.3">
      <c r="A135" t="s">
        <v>238</v>
      </c>
      <c r="B135">
        <f>MONTH(financial_status[[#This Row],[Date]])</f>
        <v>12</v>
      </c>
      <c r="C135">
        <f>YEAR(financial_status[[#This Row],[Date]])</f>
        <v>2022</v>
      </c>
      <c r="D135" t="s">
        <v>15</v>
      </c>
      <c r="E135" t="s">
        <v>9</v>
      </c>
      <c r="F135">
        <v>62972</v>
      </c>
      <c r="G135">
        <v>51434</v>
      </c>
      <c r="H135">
        <v>11538</v>
      </c>
      <c r="I135">
        <v>2112</v>
      </c>
    </row>
    <row r="136" spans="1:9" x14ac:dyDescent="0.3">
      <c r="A136" t="s">
        <v>153</v>
      </c>
      <c r="B136">
        <f>MONTH(financial_status[[#This Row],[Date]])</f>
        <v>12</v>
      </c>
      <c r="C136">
        <f>YEAR(financial_status[[#This Row],[Date]])</f>
        <v>2022</v>
      </c>
      <c r="D136" t="s">
        <v>11</v>
      </c>
      <c r="E136" t="s">
        <v>19</v>
      </c>
      <c r="F136">
        <v>87782</v>
      </c>
      <c r="G136">
        <v>31158</v>
      </c>
      <c r="H136">
        <v>56624</v>
      </c>
      <c r="I136">
        <v>19736</v>
      </c>
    </row>
    <row r="137" spans="1:9" x14ac:dyDescent="0.3">
      <c r="A137" t="s">
        <v>266</v>
      </c>
      <c r="B137">
        <f>MONTH(financial_status[[#This Row],[Date]])</f>
        <v>12</v>
      </c>
      <c r="C137">
        <f>YEAR(financial_status[[#This Row],[Date]])</f>
        <v>2022</v>
      </c>
      <c r="D137" t="s">
        <v>15</v>
      </c>
      <c r="E137" t="s">
        <v>19</v>
      </c>
      <c r="F137">
        <v>97814</v>
      </c>
      <c r="G137">
        <v>73172</v>
      </c>
      <c r="H137">
        <v>24642</v>
      </c>
      <c r="I137">
        <v>3437</v>
      </c>
    </row>
    <row r="138" spans="1:9" x14ac:dyDescent="0.3">
      <c r="A138" t="s">
        <v>68</v>
      </c>
      <c r="B138">
        <f>MONTH(financial_status[[#This Row],[Date]])</f>
        <v>1</v>
      </c>
      <c r="C138">
        <f>YEAR(financial_status[[#This Row],[Date]])</f>
        <v>2023</v>
      </c>
      <c r="D138" t="s">
        <v>8</v>
      </c>
      <c r="E138" t="s">
        <v>23</v>
      </c>
      <c r="F138">
        <v>118819</v>
      </c>
      <c r="G138">
        <v>31439</v>
      </c>
      <c r="H138">
        <v>87380</v>
      </c>
      <c r="I138">
        <v>19255</v>
      </c>
    </row>
    <row r="139" spans="1:9" x14ac:dyDescent="0.3">
      <c r="A139" t="s">
        <v>130</v>
      </c>
      <c r="B139">
        <f>MONTH(financial_status[[#This Row],[Date]])</f>
        <v>1</v>
      </c>
      <c r="C139">
        <f>YEAR(financial_status[[#This Row],[Date]])</f>
        <v>2023</v>
      </c>
      <c r="D139" t="s">
        <v>21</v>
      </c>
      <c r="E139" t="s">
        <v>12</v>
      </c>
      <c r="F139">
        <v>26075</v>
      </c>
      <c r="G139">
        <v>16935</v>
      </c>
      <c r="H139">
        <v>9140</v>
      </c>
      <c r="I139">
        <v>11157</v>
      </c>
    </row>
    <row r="140" spans="1:9" x14ac:dyDescent="0.3">
      <c r="A140" t="s">
        <v>38</v>
      </c>
      <c r="B140">
        <f>MONTH(financial_status[[#This Row],[Date]])</f>
        <v>1</v>
      </c>
      <c r="C140">
        <f>YEAR(financial_status[[#This Row],[Date]])</f>
        <v>2023</v>
      </c>
      <c r="D140" t="s">
        <v>15</v>
      </c>
      <c r="E140" t="s">
        <v>9</v>
      </c>
      <c r="F140">
        <v>93120</v>
      </c>
      <c r="G140">
        <v>27433</v>
      </c>
      <c r="H140">
        <v>65687</v>
      </c>
      <c r="I140">
        <v>10016</v>
      </c>
    </row>
    <row r="141" spans="1:9" x14ac:dyDescent="0.3">
      <c r="A141" t="s">
        <v>81</v>
      </c>
      <c r="B141">
        <f>MONTH(financial_status[[#This Row],[Date]])</f>
        <v>1</v>
      </c>
      <c r="C141">
        <f>YEAR(financial_status[[#This Row],[Date]])</f>
        <v>2023</v>
      </c>
      <c r="D141" t="s">
        <v>21</v>
      </c>
      <c r="E141" t="s">
        <v>23</v>
      </c>
      <c r="F141">
        <v>47619</v>
      </c>
      <c r="G141">
        <v>76612</v>
      </c>
      <c r="H141">
        <v>-28993</v>
      </c>
      <c r="I141">
        <v>8891</v>
      </c>
    </row>
    <row r="142" spans="1:9" x14ac:dyDescent="0.3">
      <c r="A142" t="s">
        <v>81</v>
      </c>
      <c r="B142">
        <f>MONTH(financial_status[[#This Row],[Date]])</f>
        <v>1</v>
      </c>
      <c r="C142">
        <f>YEAR(financial_status[[#This Row],[Date]])</f>
        <v>2023</v>
      </c>
      <c r="D142" t="s">
        <v>11</v>
      </c>
      <c r="E142" t="s">
        <v>19</v>
      </c>
      <c r="F142">
        <v>83426</v>
      </c>
      <c r="G142">
        <v>87957</v>
      </c>
      <c r="H142">
        <v>-4531</v>
      </c>
      <c r="I142">
        <v>5978</v>
      </c>
    </row>
    <row r="143" spans="1:9" x14ac:dyDescent="0.3">
      <c r="A143" t="s">
        <v>106</v>
      </c>
      <c r="B143">
        <f>MONTH(financial_status[[#This Row],[Date]])</f>
        <v>1</v>
      </c>
      <c r="C143">
        <f>YEAR(financial_status[[#This Row],[Date]])</f>
        <v>2023</v>
      </c>
      <c r="D143" t="s">
        <v>11</v>
      </c>
      <c r="E143" t="s">
        <v>19</v>
      </c>
      <c r="F143">
        <v>21584</v>
      </c>
      <c r="G143">
        <v>30340</v>
      </c>
      <c r="H143">
        <v>-8756</v>
      </c>
      <c r="I143">
        <v>4096</v>
      </c>
    </row>
    <row r="144" spans="1:9" x14ac:dyDescent="0.3">
      <c r="A144" t="s">
        <v>164</v>
      </c>
      <c r="B144">
        <f>MONTH(financial_status[[#This Row],[Date]])</f>
        <v>1</v>
      </c>
      <c r="C144">
        <f>YEAR(financial_status[[#This Row],[Date]])</f>
        <v>2023</v>
      </c>
      <c r="D144" t="s">
        <v>8</v>
      </c>
      <c r="E144" t="s">
        <v>9</v>
      </c>
      <c r="F144">
        <v>44329</v>
      </c>
      <c r="G144">
        <v>70434</v>
      </c>
      <c r="H144">
        <v>-26105</v>
      </c>
      <c r="I144">
        <v>10724</v>
      </c>
    </row>
    <row r="145" spans="1:9" x14ac:dyDescent="0.3">
      <c r="A145" t="s">
        <v>32</v>
      </c>
      <c r="B145">
        <f>MONTH(financial_status[[#This Row],[Date]])</f>
        <v>1</v>
      </c>
      <c r="C145">
        <f>YEAR(financial_status[[#This Row],[Date]])</f>
        <v>2023</v>
      </c>
      <c r="D145" t="s">
        <v>15</v>
      </c>
      <c r="E145" t="s">
        <v>9</v>
      </c>
      <c r="F145">
        <v>59077</v>
      </c>
      <c r="G145">
        <v>35696</v>
      </c>
      <c r="H145">
        <v>23381</v>
      </c>
      <c r="I145">
        <v>9768</v>
      </c>
    </row>
    <row r="146" spans="1:9" x14ac:dyDescent="0.3">
      <c r="A146" t="s">
        <v>216</v>
      </c>
      <c r="B146">
        <f>MONTH(financial_status[[#This Row],[Date]])</f>
        <v>1</v>
      </c>
      <c r="C146">
        <f>YEAR(financial_status[[#This Row],[Date]])</f>
        <v>2023</v>
      </c>
      <c r="D146" t="s">
        <v>8</v>
      </c>
      <c r="E146" t="s">
        <v>23</v>
      </c>
      <c r="F146">
        <v>102885</v>
      </c>
      <c r="G146">
        <v>79513</v>
      </c>
      <c r="H146">
        <v>23372</v>
      </c>
      <c r="I146">
        <v>7695</v>
      </c>
    </row>
    <row r="147" spans="1:9" x14ac:dyDescent="0.3">
      <c r="A147" t="s">
        <v>159</v>
      </c>
      <c r="B147">
        <f>MONTH(financial_status[[#This Row],[Date]])</f>
        <v>1</v>
      </c>
      <c r="C147">
        <f>YEAR(financial_status[[#This Row],[Date]])</f>
        <v>2023</v>
      </c>
      <c r="D147" t="s">
        <v>8</v>
      </c>
      <c r="E147" t="s">
        <v>9</v>
      </c>
      <c r="F147">
        <v>101695</v>
      </c>
      <c r="G147">
        <v>85889</v>
      </c>
      <c r="H147">
        <v>15806</v>
      </c>
      <c r="I147">
        <v>9601</v>
      </c>
    </row>
    <row r="148" spans="1:9" x14ac:dyDescent="0.3">
      <c r="A148" t="s">
        <v>227</v>
      </c>
      <c r="B148">
        <f>MONTH(financial_status[[#This Row],[Date]])</f>
        <v>2</v>
      </c>
      <c r="C148">
        <f>YEAR(financial_status[[#This Row],[Date]])</f>
        <v>2023</v>
      </c>
      <c r="D148" t="s">
        <v>8</v>
      </c>
      <c r="E148" t="s">
        <v>23</v>
      </c>
      <c r="F148">
        <v>69934</v>
      </c>
      <c r="G148">
        <v>80017</v>
      </c>
      <c r="H148">
        <v>-10083</v>
      </c>
      <c r="I148">
        <v>9955</v>
      </c>
    </row>
    <row r="149" spans="1:9" x14ac:dyDescent="0.3">
      <c r="A149" t="s">
        <v>52</v>
      </c>
      <c r="B149">
        <f>MONTH(financial_status[[#This Row],[Date]])</f>
        <v>2</v>
      </c>
      <c r="C149">
        <f>YEAR(financial_status[[#This Row],[Date]])</f>
        <v>2023</v>
      </c>
      <c r="D149" t="s">
        <v>21</v>
      </c>
      <c r="E149" t="s">
        <v>23</v>
      </c>
      <c r="F149">
        <v>119403</v>
      </c>
      <c r="G149">
        <v>60518</v>
      </c>
      <c r="H149">
        <v>58885</v>
      </c>
      <c r="I149">
        <v>19663</v>
      </c>
    </row>
    <row r="150" spans="1:9" x14ac:dyDescent="0.3">
      <c r="A150" t="s">
        <v>148</v>
      </c>
      <c r="B150">
        <f>MONTH(financial_status[[#This Row],[Date]])</f>
        <v>2</v>
      </c>
      <c r="C150">
        <f>YEAR(financial_status[[#This Row],[Date]])</f>
        <v>2023</v>
      </c>
      <c r="D150" t="s">
        <v>11</v>
      </c>
      <c r="E150" t="s">
        <v>12</v>
      </c>
      <c r="F150">
        <v>22735</v>
      </c>
      <c r="G150">
        <v>28606</v>
      </c>
      <c r="H150">
        <v>-5871</v>
      </c>
      <c r="I150">
        <v>9729</v>
      </c>
    </row>
    <row r="151" spans="1:9" x14ac:dyDescent="0.3">
      <c r="A151" t="s">
        <v>56</v>
      </c>
      <c r="B151">
        <f>MONTH(financial_status[[#This Row],[Date]])</f>
        <v>2</v>
      </c>
      <c r="C151">
        <f>YEAR(financial_status[[#This Row],[Date]])</f>
        <v>2023</v>
      </c>
      <c r="D151" t="s">
        <v>11</v>
      </c>
      <c r="E151" t="s">
        <v>19</v>
      </c>
      <c r="F151">
        <v>112282</v>
      </c>
      <c r="G151">
        <v>77812</v>
      </c>
      <c r="H151">
        <v>34470</v>
      </c>
      <c r="I151">
        <v>2118</v>
      </c>
    </row>
    <row r="152" spans="1:9" x14ac:dyDescent="0.3">
      <c r="A152" t="s">
        <v>40</v>
      </c>
      <c r="B152">
        <f>MONTH(financial_status[[#This Row],[Date]])</f>
        <v>2</v>
      </c>
      <c r="C152">
        <f>YEAR(financial_status[[#This Row],[Date]])</f>
        <v>2023</v>
      </c>
      <c r="D152" t="s">
        <v>15</v>
      </c>
      <c r="E152" t="s">
        <v>9</v>
      </c>
      <c r="F152">
        <v>104444</v>
      </c>
      <c r="G152">
        <v>81389</v>
      </c>
      <c r="H152">
        <v>23055</v>
      </c>
      <c r="I152">
        <v>17051</v>
      </c>
    </row>
    <row r="153" spans="1:9" x14ac:dyDescent="0.3">
      <c r="A153" t="s">
        <v>134</v>
      </c>
      <c r="B153">
        <f>MONTH(financial_status[[#This Row],[Date]])</f>
        <v>2</v>
      </c>
      <c r="C153">
        <f>YEAR(financial_status[[#This Row],[Date]])</f>
        <v>2023</v>
      </c>
      <c r="D153" t="s">
        <v>21</v>
      </c>
      <c r="E153" t="s">
        <v>12</v>
      </c>
      <c r="F153">
        <v>45862</v>
      </c>
      <c r="G153">
        <v>83907</v>
      </c>
      <c r="H153">
        <v>-38045</v>
      </c>
      <c r="I153">
        <v>16882</v>
      </c>
    </row>
    <row r="154" spans="1:9" x14ac:dyDescent="0.3">
      <c r="A154" t="s">
        <v>218</v>
      </c>
      <c r="B154">
        <f>MONTH(financial_status[[#This Row],[Date]])</f>
        <v>2</v>
      </c>
      <c r="C154">
        <f>YEAR(financial_status[[#This Row],[Date]])</f>
        <v>2023</v>
      </c>
      <c r="D154" t="s">
        <v>15</v>
      </c>
      <c r="E154" t="s">
        <v>19</v>
      </c>
      <c r="F154">
        <v>63417</v>
      </c>
      <c r="G154">
        <v>39610</v>
      </c>
      <c r="H154">
        <v>23807</v>
      </c>
      <c r="I154">
        <v>13195</v>
      </c>
    </row>
    <row r="155" spans="1:9" x14ac:dyDescent="0.3">
      <c r="A155" t="s">
        <v>252</v>
      </c>
      <c r="B155">
        <f>MONTH(financial_status[[#This Row],[Date]])</f>
        <v>2</v>
      </c>
      <c r="C155">
        <f>YEAR(financial_status[[#This Row],[Date]])</f>
        <v>2023</v>
      </c>
      <c r="D155" t="s">
        <v>21</v>
      </c>
      <c r="E155" t="s">
        <v>12</v>
      </c>
      <c r="F155">
        <v>74024</v>
      </c>
      <c r="G155">
        <v>20765</v>
      </c>
      <c r="H155">
        <v>53259</v>
      </c>
      <c r="I155">
        <v>2213</v>
      </c>
    </row>
    <row r="156" spans="1:9" x14ac:dyDescent="0.3">
      <c r="A156" t="s">
        <v>197</v>
      </c>
      <c r="B156">
        <f>MONTH(financial_status[[#This Row],[Date]])</f>
        <v>3</v>
      </c>
      <c r="C156">
        <f>YEAR(financial_status[[#This Row],[Date]])</f>
        <v>2023</v>
      </c>
      <c r="D156" t="s">
        <v>8</v>
      </c>
      <c r="E156" t="s">
        <v>12</v>
      </c>
      <c r="F156">
        <v>69943</v>
      </c>
      <c r="G156">
        <v>50365</v>
      </c>
      <c r="H156">
        <v>19578</v>
      </c>
      <c r="I156">
        <v>12762</v>
      </c>
    </row>
    <row r="157" spans="1:9" x14ac:dyDescent="0.3">
      <c r="A157" t="s">
        <v>207</v>
      </c>
      <c r="B157">
        <f>MONTH(financial_status[[#This Row],[Date]])</f>
        <v>3</v>
      </c>
      <c r="C157">
        <f>YEAR(financial_status[[#This Row],[Date]])</f>
        <v>2023</v>
      </c>
      <c r="D157" t="s">
        <v>15</v>
      </c>
      <c r="E157" t="s">
        <v>19</v>
      </c>
      <c r="F157">
        <v>70273</v>
      </c>
      <c r="G157">
        <v>27592</v>
      </c>
      <c r="H157">
        <v>42681</v>
      </c>
      <c r="I157">
        <v>2830</v>
      </c>
    </row>
    <row r="158" spans="1:9" x14ac:dyDescent="0.3">
      <c r="A158" t="s">
        <v>25</v>
      </c>
      <c r="B158">
        <f>MONTH(financial_status[[#This Row],[Date]])</f>
        <v>3</v>
      </c>
      <c r="C158">
        <f>YEAR(financial_status[[#This Row],[Date]])</f>
        <v>2023</v>
      </c>
      <c r="D158" t="s">
        <v>15</v>
      </c>
      <c r="E158" t="s">
        <v>23</v>
      </c>
      <c r="F158">
        <v>58613</v>
      </c>
      <c r="G158">
        <v>42219</v>
      </c>
      <c r="H158">
        <v>16394</v>
      </c>
      <c r="I158">
        <v>5786</v>
      </c>
    </row>
    <row r="159" spans="1:9" x14ac:dyDescent="0.3">
      <c r="A159" t="s">
        <v>184</v>
      </c>
      <c r="B159">
        <f>MONTH(financial_status[[#This Row],[Date]])</f>
        <v>3</v>
      </c>
      <c r="C159">
        <f>YEAR(financial_status[[#This Row],[Date]])</f>
        <v>2023</v>
      </c>
      <c r="D159" t="s">
        <v>21</v>
      </c>
      <c r="E159" t="s">
        <v>12</v>
      </c>
      <c r="F159">
        <v>77014</v>
      </c>
      <c r="G159">
        <v>55088</v>
      </c>
      <c r="H159">
        <v>21926</v>
      </c>
      <c r="I159">
        <v>15583</v>
      </c>
    </row>
    <row r="160" spans="1:9" x14ac:dyDescent="0.3">
      <c r="A160" t="s">
        <v>168</v>
      </c>
      <c r="B160">
        <f>MONTH(financial_status[[#This Row],[Date]])</f>
        <v>3</v>
      </c>
      <c r="C160">
        <f>YEAR(financial_status[[#This Row],[Date]])</f>
        <v>2023</v>
      </c>
      <c r="D160" t="s">
        <v>8</v>
      </c>
      <c r="E160" t="s">
        <v>12</v>
      </c>
      <c r="F160">
        <v>109576</v>
      </c>
      <c r="G160">
        <v>64570</v>
      </c>
      <c r="H160">
        <v>45006</v>
      </c>
      <c r="I160">
        <v>8883</v>
      </c>
    </row>
    <row r="161" spans="1:9" x14ac:dyDescent="0.3">
      <c r="A161" t="s">
        <v>168</v>
      </c>
      <c r="B161">
        <f>MONTH(financial_status[[#This Row],[Date]])</f>
        <v>3</v>
      </c>
      <c r="C161">
        <f>YEAR(financial_status[[#This Row],[Date]])</f>
        <v>2023</v>
      </c>
      <c r="D161" t="s">
        <v>8</v>
      </c>
      <c r="E161" t="s">
        <v>23</v>
      </c>
      <c r="F161">
        <v>100931</v>
      </c>
      <c r="G161">
        <v>20330</v>
      </c>
      <c r="H161">
        <v>80601</v>
      </c>
      <c r="I161">
        <v>10278</v>
      </c>
    </row>
    <row r="162" spans="1:9" x14ac:dyDescent="0.3">
      <c r="A162" t="s">
        <v>237</v>
      </c>
      <c r="B162">
        <f>MONTH(financial_status[[#This Row],[Date]])</f>
        <v>3</v>
      </c>
      <c r="C162">
        <f>YEAR(financial_status[[#This Row],[Date]])</f>
        <v>2023</v>
      </c>
      <c r="D162" t="s">
        <v>15</v>
      </c>
      <c r="E162" t="s">
        <v>9</v>
      </c>
      <c r="F162">
        <v>52434</v>
      </c>
      <c r="G162">
        <v>83789</v>
      </c>
      <c r="H162">
        <v>-31355</v>
      </c>
      <c r="I162">
        <v>16079</v>
      </c>
    </row>
    <row r="163" spans="1:9" x14ac:dyDescent="0.3">
      <c r="A163" t="s">
        <v>222</v>
      </c>
      <c r="B163">
        <f>MONTH(financial_status[[#This Row],[Date]])</f>
        <v>3</v>
      </c>
      <c r="C163">
        <f>YEAR(financial_status[[#This Row],[Date]])</f>
        <v>2023</v>
      </c>
      <c r="D163" t="s">
        <v>21</v>
      </c>
      <c r="E163" t="s">
        <v>12</v>
      </c>
      <c r="F163">
        <v>63777</v>
      </c>
      <c r="G163">
        <v>63355</v>
      </c>
      <c r="H163">
        <v>422</v>
      </c>
      <c r="I163">
        <v>12481</v>
      </c>
    </row>
    <row r="164" spans="1:9" x14ac:dyDescent="0.3">
      <c r="A164" t="s">
        <v>223</v>
      </c>
      <c r="B164">
        <f>MONTH(financial_status[[#This Row],[Date]])</f>
        <v>3</v>
      </c>
      <c r="C164">
        <f>YEAR(financial_status[[#This Row],[Date]])</f>
        <v>2023</v>
      </c>
      <c r="D164" t="s">
        <v>15</v>
      </c>
      <c r="E164" t="s">
        <v>23</v>
      </c>
      <c r="F164">
        <v>22163</v>
      </c>
      <c r="G164">
        <v>70247</v>
      </c>
      <c r="H164">
        <v>-48084</v>
      </c>
      <c r="I164">
        <v>17981</v>
      </c>
    </row>
    <row r="165" spans="1:9" x14ac:dyDescent="0.3">
      <c r="A165" t="s">
        <v>133</v>
      </c>
      <c r="B165">
        <f>MONTH(financial_status[[#This Row],[Date]])</f>
        <v>4</v>
      </c>
      <c r="C165">
        <f>YEAR(financial_status[[#This Row],[Date]])</f>
        <v>2023</v>
      </c>
      <c r="D165" t="s">
        <v>15</v>
      </c>
      <c r="E165" t="s">
        <v>12</v>
      </c>
      <c r="F165">
        <v>100886</v>
      </c>
      <c r="G165">
        <v>29408</v>
      </c>
      <c r="H165">
        <v>71478</v>
      </c>
      <c r="I165">
        <v>18732</v>
      </c>
    </row>
    <row r="166" spans="1:9" x14ac:dyDescent="0.3">
      <c r="A166" t="s">
        <v>63</v>
      </c>
      <c r="B166">
        <f>MONTH(financial_status[[#This Row],[Date]])</f>
        <v>4</v>
      </c>
      <c r="C166">
        <f>YEAR(financial_status[[#This Row],[Date]])</f>
        <v>2023</v>
      </c>
      <c r="D166" t="s">
        <v>8</v>
      </c>
      <c r="E166" t="s">
        <v>9</v>
      </c>
      <c r="F166">
        <v>109357</v>
      </c>
      <c r="G166">
        <v>30651</v>
      </c>
      <c r="H166">
        <v>78706</v>
      </c>
      <c r="I166">
        <v>3514</v>
      </c>
    </row>
    <row r="167" spans="1:9" x14ac:dyDescent="0.3">
      <c r="A167" t="s">
        <v>75</v>
      </c>
      <c r="B167">
        <f>MONTH(financial_status[[#This Row],[Date]])</f>
        <v>4</v>
      </c>
      <c r="C167">
        <f>YEAR(financial_status[[#This Row],[Date]])</f>
        <v>2023</v>
      </c>
      <c r="D167" t="s">
        <v>11</v>
      </c>
      <c r="E167" t="s">
        <v>23</v>
      </c>
      <c r="F167">
        <v>95409</v>
      </c>
      <c r="G167">
        <v>22308</v>
      </c>
      <c r="H167">
        <v>73101</v>
      </c>
      <c r="I167">
        <v>9183</v>
      </c>
    </row>
    <row r="168" spans="1:9" x14ac:dyDescent="0.3">
      <c r="A168" t="s">
        <v>142</v>
      </c>
      <c r="B168">
        <f>MONTH(financial_status[[#This Row],[Date]])</f>
        <v>4</v>
      </c>
      <c r="C168">
        <f>YEAR(financial_status[[#This Row],[Date]])</f>
        <v>2023</v>
      </c>
      <c r="D168" t="s">
        <v>15</v>
      </c>
      <c r="E168" t="s">
        <v>9</v>
      </c>
      <c r="F168">
        <v>26222</v>
      </c>
      <c r="G168">
        <v>41489</v>
      </c>
      <c r="H168">
        <v>-15267</v>
      </c>
      <c r="I168">
        <v>16288</v>
      </c>
    </row>
    <row r="169" spans="1:9" x14ac:dyDescent="0.3">
      <c r="A169" t="s">
        <v>142</v>
      </c>
      <c r="B169">
        <f>MONTH(financial_status[[#This Row],[Date]])</f>
        <v>4</v>
      </c>
      <c r="C169">
        <f>YEAR(financial_status[[#This Row],[Date]])</f>
        <v>2023</v>
      </c>
      <c r="D169" t="s">
        <v>15</v>
      </c>
      <c r="E169" t="s">
        <v>12</v>
      </c>
      <c r="F169">
        <v>82540</v>
      </c>
      <c r="G169">
        <v>29237</v>
      </c>
      <c r="H169">
        <v>53303</v>
      </c>
      <c r="I169">
        <v>8908</v>
      </c>
    </row>
    <row r="170" spans="1:9" x14ac:dyDescent="0.3">
      <c r="A170" t="s">
        <v>109</v>
      </c>
      <c r="B170">
        <f>MONTH(financial_status[[#This Row],[Date]])</f>
        <v>4</v>
      </c>
      <c r="C170">
        <f>YEAR(financial_status[[#This Row],[Date]])</f>
        <v>2023</v>
      </c>
      <c r="D170" t="s">
        <v>21</v>
      </c>
      <c r="E170" t="s">
        <v>23</v>
      </c>
      <c r="F170">
        <v>42099</v>
      </c>
      <c r="G170">
        <v>32119</v>
      </c>
      <c r="H170">
        <v>9980</v>
      </c>
      <c r="I170">
        <v>7671</v>
      </c>
    </row>
    <row r="171" spans="1:9" x14ac:dyDescent="0.3">
      <c r="A171" t="s">
        <v>267</v>
      </c>
      <c r="B171">
        <f>MONTH(financial_status[[#This Row],[Date]])</f>
        <v>4</v>
      </c>
      <c r="C171">
        <f>YEAR(financial_status[[#This Row],[Date]])</f>
        <v>2023</v>
      </c>
      <c r="D171" t="s">
        <v>11</v>
      </c>
      <c r="E171" t="s">
        <v>19</v>
      </c>
      <c r="F171">
        <v>43137</v>
      </c>
      <c r="G171">
        <v>14523</v>
      </c>
      <c r="H171">
        <v>28614</v>
      </c>
      <c r="I171">
        <v>8397</v>
      </c>
    </row>
    <row r="172" spans="1:9" x14ac:dyDescent="0.3">
      <c r="A172" t="s">
        <v>188</v>
      </c>
      <c r="B172">
        <f>MONTH(financial_status[[#This Row],[Date]])</f>
        <v>4</v>
      </c>
      <c r="C172">
        <f>YEAR(financial_status[[#This Row],[Date]])</f>
        <v>2023</v>
      </c>
      <c r="D172" t="s">
        <v>11</v>
      </c>
      <c r="E172" t="s">
        <v>12</v>
      </c>
      <c r="F172">
        <v>21624</v>
      </c>
      <c r="G172">
        <v>82160</v>
      </c>
      <c r="H172">
        <v>-60536</v>
      </c>
      <c r="I172">
        <v>12531</v>
      </c>
    </row>
    <row r="173" spans="1:9" x14ac:dyDescent="0.3">
      <c r="A173" t="s">
        <v>162</v>
      </c>
      <c r="B173">
        <f>MONTH(financial_status[[#This Row],[Date]])</f>
        <v>5</v>
      </c>
      <c r="C173">
        <f>YEAR(financial_status[[#This Row],[Date]])</f>
        <v>2023</v>
      </c>
      <c r="D173" t="s">
        <v>11</v>
      </c>
      <c r="E173" t="s">
        <v>9</v>
      </c>
      <c r="F173">
        <v>27163</v>
      </c>
      <c r="G173">
        <v>26147</v>
      </c>
      <c r="H173">
        <v>1016</v>
      </c>
      <c r="I173">
        <v>16235</v>
      </c>
    </row>
    <row r="174" spans="1:9" x14ac:dyDescent="0.3">
      <c r="A174" t="s">
        <v>241</v>
      </c>
      <c r="B174">
        <f>MONTH(financial_status[[#This Row],[Date]])</f>
        <v>5</v>
      </c>
      <c r="C174">
        <f>YEAR(financial_status[[#This Row],[Date]])</f>
        <v>2023</v>
      </c>
      <c r="D174" t="s">
        <v>11</v>
      </c>
      <c r="E174" t="s">
        <v>19</v>
      </c>
      <c r="F174">
        <v>62564</v>
      </c>
      <c r="G174">
        <v>58190</v>
      </c>
      <c r="H174">
        <v>4374</v>
      </c>
      <c r="I174">
        <v>5773</v>
      </c>
    </row>
    <row r="175" spans="1:9" x14ac:dyDescent="0.3">
      <c r="A175" t="s">
        <v>185</v>
      </c>
      <c r="B175">
        <f>MONTH(financial_status[[#This Row],[Date]])</f>
        <v>5</v>
      </c>
      <c r="C175">
        <f>YEAR(financial_status[[#This Row],[Date]])</f>
        <v>2023</v>
      </c>
      <c r="D175" t="s">
        <v>8</v>
      </c>
      <c r="E175" t="s">
        <v>19</v>
      </c>
      <c r="F175">
        <v>106380</v>
      </c>
      <c r="G175">
        <v>37151</v>
      </c>
      <c r="H175">
        <v>69229</v>
      </c>
      <c r="I175">
        <v>11777</v>
      </c>
    </row>
    <row r="176" spans="1:9" x14ac:dyDescent="0.3">
      <c r="A176" t="s">
        <v>257</v>
      </c>
      <c r="B176">
        <f>MONTH(financial_status[[#This Row],[Date]])</f>
        <v>5</v>
      </c>
      <c r="C176">
        <f>YEAR(financial_status[[#This Row],[Date]])</f>
        <v>2023</v>
      </c>
      <c r="D176" t="s">
        <v>21</v>
      </c>
      <c r="E176" t="s">
        <v>23</v>
      </c>
      <c r="F176">
        <v>83951</v>
      </c>
      <c r="G176">
        <v>18709</v>
      </c>
      <c r="H176">
        <v>65242</v>
      </c>
      <c r="I176">
        <v>8214</v>
      </c>
    </row>
    <row r="177" spans="1:9" x14ac:dyDescent="0.3">
      <c r="A177" t="s">
        <v>202</v>
      </c>
      <c r="B177">
        <f>MONTH(financial_status[[#This Row],[Date]])</f>
        <v>5</v>
      </c>
      <c r="C177">
        <f>YEAR(financial_status[[#This Row],[Date]])</f>
        <v>2023</v>
      </c>
      <c r="D177" t="s">
        <v>8</v>
      </c>
      <c r="E177" t="s">
        <v>9</v>
      </c>
      <c r="F177">
        <v>83198</v>
      </c>
      <c r="G177">
        <v>42628</v>
      </c>
      <c r="H177">
        <v>40570</v>
      </c>
      <c r="I177">
        <v>15188</v>
      </c>
    </row>
    <row r="178" spans="1:9" x14ac:dyDescent="0.3">
      <c r="A178" t="s">
        <v>246</v>
      </c>
      <c r="B178">
        <f>MONTH(financial_status[[#This Row],[Date]])</f>
        <v>5</v>
      </c>
      <c r="C178">
        <f>YEAR(financial_status[[#This Row],[Date]])</f>
        <v>2023</v>
      </c>
      <c r="D178" t="s">
        <v>15</v>
      </c>
      <c r="E178" t="s">
        <v>19</v>
      </c>
      <c r="F178">
        <v>93692</v>
      </c>
      <c r="G178">
        <v>35146</v>
      </c>
      <c r="H178">
        <v>58546</v>
      </c>
      <c r="I178">
        <v>15622</v>
      </c>
    </row>
    <row r="179" spans="1:9" x14ac:dyDescent="0.3">
      <c r="A179" t="s">
        <v>231</v>
      </c>
      <c r="B179">
        <f>MONTH(financial_status[[#This Row],[Date]])</f>
        <v>5</v>
      </c>
      <c r="C179">
        <f>YEAR(financial_status[[#This Row],[Date]])</f>
        <v>2023</v>
      </c>
      <c r="D179" t="s">
        <v>11</v>
      </c>
      <c r="E179" t="s">
        <v>19</v>
      </c>
      <c r="F179">
        <v>34899</v>
      </c>
      <c r="G179">
        <v>83079</v>
      </c>
      <c r="H179">
        <v>-48180</v>
      </c>
      <c r="I179">
        <v>7699</v>
      </c>
    </row>
    <row r="180" spans="1:9" x14ac:dyDescent="0.3">
      <c r="A180" t="s">
        <v>136</v>
      </c>
      <c r="B180">
        <f>MONTH(financial_status[[#This Row],[Date]])</f>
        <v>5</v>
      </c>
      <c r="C180">
        <f>YEAR(financial_status[[#This Row],[Date]])</f>
        <v>2023</v>
      </c>
      <c r="D180" t="s">
        <v>15</v>
      </c>
      <c r="E180" t="s">
        <v>9</v>
      </c>
      <c r="F180">
        <v>20412</v>
      </c>
      <c r="G180">
        <v>52457</v>
      </c>
      <c r="H180">
        <v>-32045</v>
      </c>
      <c r="I180">
        <v>15171</v>
      </c>
    </row>
    <row r="181" spans="1:9" x14ac:dyDescent="0.3">
      <c r="A181" t="s">
        <v>173</v>
      </c>
      <c r="B181">
        <f>MONTH(financial_status[[#This Row],[Date]])</f>
        <v>6</v>
      </c>
      <c r="C181">
        <f>YEAR(financial_status[[#This Row],[Date]])</f>
        <v>2023</v>
      </c>
      <c r="D181" t="s">
        <v>8</v>
      </c>
      <c r="E181" t="s">
        <v>23</v>
      </c>
      <c r="F181">
        <v>82622</v>
      </c>
      <c r="G181">
        <v>70600</v>
      </c>
      <c r="H181">
        <v>12022</v>
      </c>
      <c r="I181">
        <v>19062</v>
      </c>
    </row>
    <row r="182" spans="1:9" x14ac:dyDescent="0.3">
      <c r="A182" t="s">
        <v>112</v>
      </c>
      <c r="B182">
        <f>MONTH(financial_status[[#This Row],[Date]])</f>
        <v>6</v>
      </c>
      <c r="C182">
        <f>YEAR(financial_status[[#This Row],[Date]])</f>
        <v>2023</v>
      </c>
      <c r="D182" t="s">
        <v>8</v>
      </c>
      <c r="E182" t="s">
        <v>23</v>
      </c>
      <c r="F182">
        <v>78330</v>
      </c>
      <c r="G182">
        <v>72446</v>
      </c>
      <c r="H182">
        <v>5884</v>
      </c>
      <c r="I182">
        <v>5073</v>
      </c>
    </row>
    <row r="183" spans="1:9" x14ac:dyDescent="0.3">
      <c r="A183" t="s">
        <v>112</v>
      </c>
      <c r="B183">
        <f>MONTH(financial_status[[#This Row],[Date]])</f>
        <v>6</v>
      </c>
      <c r="C183">
        <f>YEAR(financial_status[[#This Row],[Date]])</f>
        <v>2023</v>
      </c>
      <c r="D183" t="s">
        <v>21</v>
      </c>
      <c r="E183" t="s">
        <v>12</v>
      </c>
      <c r="F183">
        <v>99162</v>
      </c>
      <c r="G183">
        <v>82622</v>
      </c>
      <c r="H183">
        <v>16540</v>
      </c>
      <c r="I183">
        <v>14078</v>
      </c>
    </row>
    <row r="184" spans="1:9" x14ac:dyDescent="0.3">
      <c r="A184" t="s">
        <v>191</v>
      </c>
      <c r="B184">
        <f>MONTH(financial_status[[#This Row],[Date]])</f>
        <v>6</v>
      </c>
      <c r="C184">
        <f>YEAR(financial_status[[#This Row],[Date]])</f>
        <v>2023</v>
      </c>
      <c r="D184" t="s">
        <v>21</v>
      </c>
      <c r="E184" t="s">
        <v>12</v>
      </c>
      <c r="F184">
        <v>98392</v>
      </c>
      <c r="G184">
        <v>41128</v>
      </c>
      <c r="H184">
        <v>57264</v>
      </c>
      <c r="I184">
        <v>14228</v>
      </c>
    </row>
    <row r="185" spans="1:9" x14ac:dyDescent="0.3">
      <c r="A185" t="s">
        <v>204</v>
      </c>
      <c r="B185">
        <f>MONTH(financial_status[[#This Row],[Date]])</f>
        <v>6</v>
      </c>
      <c r="C185">
        <f>YEAR(financial_status[[#This Row],[Date]])</f>
        <v>2023</v>
      </c>
      <c r="D185" t="s">
        <v>15</v>
      </c>
      <c r="E185" t="s">
        <v>23</v>
      </c>
      <c r="F185">
        <v>76327</v>
      </c>
      <c r="G185">
        <v>89207</v>
      </c>
      <c r="H185">
        <v>-12880</v>
      </c>
      <c r="I185">
        <v>2129</v>
      </c>
    </row>
    <row r="186" spans="1:9" x14ac:dyDescent="0.3">
      <c r="A186" t="s">
        <v>132</v>
      </c>
      <c r="B186">
        <f>MONTH(financial_status[[#This Row],[Date]])</f>
        <v>6</v>
      </c>
      <c r="C186">
        <f>YEAR(financial_status[[#This Row],[Date]])</f>
        <v>2023</v>
      </c>
      <c r="D186" t="s">
        <v>21</v>
      </c>
      <c r="E186" t="s">
        <v>19</v>
      </c>
      <c r="F186">
        <v>26863</v>
      </c>
      <c r="G186">
        <v>54869</v>
      </c>
      <c r="H186">
        <v>-28006</v>
      </c>
      <c r="I186">
        <v>6536</v>
      </c>
    </row>
    <row r="187" spans="1:9" x14ac:dyDescent="0.3">
      <c r="A187" t="s">
        <v>132</v>
      </c>
      <c r="B187">
        <f>MONTH(financial_status[[#This Row],[Date]])</f>
        <v>6</v>
      </c>
      <c r="C187">
        <f>YEAR(financial_status[[#This Row],[Date]])</f>
        <v>2023</v>
      </c>
      <c r="D187" t="s">
        <v>21</v>
      </c>
      <c r="E187" t="s">
        <v>12</v>
      </c>
      <c r="F187">
        <v>49464</v>
      </c>
      <c r="G187">
        <v>62518</v>
      </c>
      <c r="H187">
        <v>-13054</v>
      </c>
      <c r="I187">
        <v>4151</v>
      </c>
    </row>
    <row r="188" spans="1:9" x14ac:dyDescent="0.3">
      <c r="A188" t="s">
        <v>132</v>
      </c>
      <c r="B188">
        <f>MONTH(financial_status[[#This Row],[Date]])</f>
        <v>6</v>
      </c>
      <c r="C188">
        <f>YEAR(financial_status[[#This Row],[Date]])</f>
        <v>2023</v>
      </c>
      <c r="D188" t="s">
        <v>11</v>
      </c>
      <c r="E188" t="s">
        <v>23</v>
      </c>
      <c r="F188">
        <v>109724</v>
      </c>
      <c r="G188">
        <v>47242</v>
      </c>
      <c r="H188">
        <v>62482</v>
      </c>
      <c r="I188">
        <v>13801</v>
      </c>
    </row>
    <row r="189" spans="1:9" x14ac:dyDescent="0.3">
      <c r="A189" t="s">
        <v>59</v>
      </c>
      <c r="B189">
        <f>MONTH(financial_status[[#This Row],[Date]])</f>
        <v>6</v>
      </c>
      <c r="C189">
        <f>YEAR(financial_status[[#This Row],[Date]])</f>
        <v>2023</v>
      </c>
      <c r="D189" t="s">
        <v>11</v>
      </c>
      <c r="E189" t="s">
        <v>9</v>
      </c>
      <c r="F189">
        <v>88380</v>
      </c>
      <c r="G189">
        <v>79840</v>
      </c>
      <c r="H189">
        <v>8540</v>
      </c>
      <c r="I189">
        <v>17397</v>
      </c>
    </row>
    <row r="190" spans="1:9" x14ac:dyDescent="0.3">
      <c r="A190" t="s">
        <v>268</v>
      </c>
      <c r="B190">
        <f>MONTH(financial_status[[#This Row],[Date]])</f>
        <v>6</v>
      </c>
      <c r="C190">
        <f>YEAR(financial_status[[#This Row],[Date]])</f>
        <v>2023</v>
      </c>
      <c r="D190" t="s">
        <v>15</v>
      </c>
      <c r="E190" t="s">
        <v>9</v>
      </c>
      <c r="F190">
        <v>94061</v>
      </c>
      <c r="G190">
        <v>16627</v>
      </c>
      <c r="H190">
        <v>77434</v>
      </c>
      <c r="I190">
        <v>13514</v>
      </c>
    </row>
    <row r="191" spans="1:9" x14ac:dyDescent="0.3">
      <c r="A191" t="s">
        <v>129</v>
      </c>
      <c r="B191">
        <f>MONTH(financial_status[[#This Row],[Date]])</f>
        <v>6</v>
      </c>
      <c r="C191">
        <f>YEAR(financial_status[[#This Row],[Date]])</f>
        <v>2023</v>
      </c>
      <c r="D191" t="s">
        <v>15</v>
      </c>
      <c r="E191" t="s">
        <v>12</v>
      </c>
      <c r="F191">
        <v>102950</v>
      </c>
      <c r="G191">
        <v>54341</v>
      </c>
      <c r="H191">
        <v>48609</v>
      </c>
      <c r="I191">
        <v>10524</v>
      </c>
    </row>
    <row r="192" spans="1:9" x14ac:dyDescent="0.3">
      <c r="A192" t="s">
        <v>129</v>
      </c>
      <c r="B192">
        <f>MONTH(financial_status[[#This Row],[Date]])</f>
        <v>6</v>
      </c>
      <c r="C192">
        <f>YEAR(financial_status[[#This Row],[Date]])</f>
        <v>2023</v>
      </c>
      <c r="D192" t="s">
        <v>21</v>
      </c>
      <c r="E192" t="s">
        <v>12</v>
      </c>
      <c r="F192">
        <v>38420</v>
      </c>
      <c r="G192">
        <v>22894</v>
      </c>
      <c r="H192">
        <v>15526</v>
      </c>
      <c r="I192">
        <v>2072</v>
      </c>
    </row>
    <row r="193" spans="1:9" x14ac:dyDescent="0.3">
      <c r="A193" t="s">
        <v>149</v>
      </c>
      <c r="B193">
        <f>MONTH(financial_status[[#This Row],[Date]])</f>
        <v>6</v>
      </c>
      <c r="C193">
        <f>YEAR(financial_status[[#This Row],[Date]])</f>
        <v>2023</v>
      </c>
      <c r="D193" t="s">
        <v>11</v>
      </c>
      <c r="E193" t="s">
        <v>12</v>
      </c>
      <c r="F193">
        <v>45498</v>
      </c>
      <c r="G193">
        <v>72532</v>
      </c>
      <c r="H193">
        <v>-27034</v>
      </c>
      <c r="I193">
        <v>17870</v>
      </c>
    </row>
    <row r="194" spans="1:9" x14ac:dyDescent="0.3">
      <c r="A194" t="s">
        <v>70</v>
      </c>
      <c r="B194">
        <f>MONTH(financial_status[[#This Row],[Date]])</f>
        <v>6</v>
      </c>
      <c r="C194">
        <f>YEAR(financial_status[[#This Row],[Date]])</f>
        <v>2023</v>
      </c>
      <c r="D194" t="s">
        <v>11</v>
      </c>
      <c r="E194" t="s">
        <v>12</v>
      </c>
      <c r="F194">
        <v>47813</v>
      </c>
      <c r="G194">
        <v>45992</v>
      </c>
      <c r="H194">
        <v>1821</v>
      </c>
      <c r="I194">
        <v>5286</v>
      </c>
    </row>
    <row r="195" spans="1:9" x14ac:dyDescent="0.3">
      <c r="A195" t="s">
        <v>119</v>
      </c>
      <c r="B195">
        <f>MONTH(financial_status[[#This Row],[Date]])</f>
        <v>6</v>
      </c>
      <c r="C195">
        <f>YEAR(financial_status[[#This Row],[Date]])</f>
        <v>2023</v>
      </c>
      <c r="D195" t="s">
        <v>15</v>
      </c>
      <c r="E195" t="s">
        <v>9</v>
      </c>
      <c r="F195">
        <v>111923</v>
      </c>
      <c r="G195">
        <v>57476</v>
      </c>
      <c r="H195">
        <v>54447</v>
      </c>
      <c r="I195">
        <v>15834</v>
      </c>
    </row>
    <row r="196" spans="1:9" x14ac:dyDescent="0.3">
      <c r="A196" t="s">
        <v>250</v>
      </c>
      <c r="B196">
        <f>MONTH(financial_status[[#This Row],[Date]])</f>
        <v>7</v>
      </c>
      <c r="C196">
        <f>YEAR(financial_status[[#This Row],[Date]])</f>
        <v>2023</v>
      </c>
      <c r="D196" t="s">
        <v>8</v>
      </c>
      <c r="E196" t="s">
        <v>23</v>
      </c>
      <c r="F196">
        <v>115553</v>
      </c>
      <c r="G196">
        <v>24223</v>
      </c>
      <c r="H196">
        <v>91330</v>
      </c>
      <c r="I196">
        <v>14399</v>
      </c>
    </row>
    <row r="197" spans="1:9" x14ac:dyDescent="0.3">
      <c r="A197" t="s">
        <v>35</v>
      </c>
      <c r="B197">
        <f>MONTH(financial_status[[#This Row],[Date]])</f>
        <v>7</v>
      </c>
      <c r="C197">
        <f>YEAR(financial_status[[#This Row],[Date]])</f>
        <v>2023</v>
      </c>
      <c r="D197" t="s">
        <v>8</v>
      </c>
      <c r="E197" t="s">
        <v>19</v>
      </c>
      <c r="F197">
        <v>65520</v>
      </c>
      <c r="G197">
        <v>85602</v>
      </c>
      <c r="H197">
        <v>-20082</v>
      </c>
      <c r="I197">
        <v>2645</v>
      </c>
    </row>
    <row r="198" spans="1:9" x14ac:dyDescent="0.3">
      <c r="A198" t="s">
        <v>37</v>
      </c>
      <c r="B198">
        <f>MONTH(financial_status[[#This Row],[Date]])</f>
        <v>7</v>
      </c>
      <c r="C198">
        <f>YEAR(financial_status[[#This Row],[Date]])</f>
        <v>2023</v>
      </c>
      <c r="D198" t="s">
        <v>21</v>
      </c>
      <c r="E198" t="s">
        <v>12</v>
      </c>
      <c r="F198">
        <v>58503</v>
      </c>
      <c r="G198">
        <v>68290</v>
      </c>
      <c r="H198">
        <v>-9787</v>
      </c>
      <c r="I198">
        <v>3851</v>
      </c>
    </row>
    <row r="199" spans="1:9" x14ac:dyDescent="0.3">
      <c r="A199" t="s">
        <v>175</v>
      </c>
      <c r="B199">
        <f>MONTH(financial_status[[#This Row],[Date]])</f>
        <v>7</v>
      </c>
      <c r="C199">
        <f>YEAR(financial_status[[#This Row],[Date]])</f>
        <v>2023</v>
      </c>
      <c r="D199" t="s">
        <v>21</v>
      </c>
      <c r="E199" t="s">
        <v>23</v>
      </c>
      <c r="F199">
        <v>44710</v>
      </c>
      <c r="G199">
        <v>28866</v>
      </c>
      <c r="H199">
        <v>15844</v>
      </c>
      <c r="I199">
        <v>14627</v>
      </c>
    </row>
    <row r="200" spans="1:9" x14ac:dyDescent="0.3">
      <c r="A200" t="s">
        <v>28</v>
      </c>
      <c r="B200">
        <f>MONTH(financial_status[[#This Row],[Date]])</f>
        <v>7</v>
      </c>
      <c r="C200">
        <f>YEAR(financial_status[[#This Row],[Date]])</f>
        <v>2023</v>
      </c>
      <c r="D200" t="s">
        <v>11</v>
      </c>
      <c r="E200" t="s">
        <v>12</v>
      </c>
      <c r="F200">
        <v>101464</v>
      </c>
      <c r="G200">
        <v>22795</v>
      </c>
      <c r="H200">
        <v>78669</v>
      </c>
      <c r="I200">
        <v>16481</v>
      </c>
    </row>
    <row r="201" spans="1:9" x14ac:dyDescent="0.3">
      <c r="A201" t="s">
        <v>28</v>
      </c>
      <c r="B201">
        <f>MONTH(financial_status[[#This Row],[Date]])</f>
        <v>7</v>
      </c>
      <c r="C201">
        <f>YEAR(financial_status[[#This Row],[Date]])</f>
        <v>2023</v>
      </c>
      <c r="D201" t="s">
        <v>11</v>
      </c>
      <c r="E201" t="s">
        <v>19</v>
      </c>
      <c r="F201">
        <v>28432</v>
      </c>
      <c r="G201">
        <v>17864</v>
      </c>
      <c r="H201">
        <v>10568</v>
      </c>
      <c r="I201">
        <v>4242</v>
      </c>
    </row>
    <row r="202" spans="1:9" x14ac:dyDescent="0.3">
      <c r="A202" t="s">
        <v>116</v>
      </c>
      <c r="B202">
        <f>MONTH(financial_status[[#This Row],[Date]])</f>
        <v>7</v>
      </c>
      <c r="C202">
        <f>YEAR(financial_status[[#This Row],[Date]])</f>
        <v>2023</v>
      </c>
      <c r="D202" t="s">
        <v>21</v>
      </c>
      <c r="E202" t="s">
        <v>19</v>
      </c>
      <c r="F202">
        <v>38927</v>
      </c>
      <c r="G202">
        <v>53896</v>
      </c>
      <c r="H202">
        <v>-14969</v>
      </c>
      <c r="I202">
        <v>11396</v>
      </c>
    </row>
    <row r="203" spans="1:9" x14ac:dyDescent="0.3">
      <c r="A203" t="s">
        <v>226</v>
      </c>
      <c r="B203">
        <f>MONTH(financial_status[[#This Row],[Date]])</f>
        <v>7</v>
      </c>
      <c r="C203">
        <f>YEAR(financial_status[[#This Row],[Date]])</f>
        <v>2023</v>
      </c>
      <c r="D203" t="s">
        <v>21</v>
      </c>
      <c r="E203" t="s">
        <v>12</v>
      </c>
      <c r="F203">
        <v>34870</v>
      </c>
      <c r="G203">
        <v>87675</v>
      </c>
      <c r="H203">
        <v>-52805</v>
      </c>
      <c r="I203">
        <v>15842</v>
      </c>
    </row>
    <row r="204" spans="1:9" x14ac:dyDescent="0.3">
      <c r="A204" t="s">
        <v>158</v>
      </c>
      <c r="B204">
        <f>MONTH(financial_status[[#This Row],[Date]])</f>
        <v>7</v>
      </c>
      <c r="C204">
        <f>YEAR(financial_status[[#This Row],[Date]])</f>
        <v>2023</v>
      </c>
      <c r="D204" t="s">
        <v>21</v>
      </c>
      <c r="E204" t="s">
        <v>12</v>
      </c>
      <c r="F204">
        <v>22811</v>
      </c>
      <c r="G204">
        <v>71935</v>
      </c>
      <c r="H204">
        <v>-49124</v>
      </c>
      <c r="I204">
        <v>19610</v>
      </c>
    </row>
    <row r="205" spans="1:9" x14ac:dyDescent="0.3">
      <c r="A205" t="s">
        <v>27</v>
      </c>
      <c r="B205">
        <f>MONTH(financial_status[[#This Row],[Date]])</f>
        <v>8</v>
      </c>
      <c r="C205">
        <f>YEAR(financial_status[[#This Row],[Date]])</f>
        <v>2023</v>
      </c>
      <c r="D205" t="s">
        <v>15</v>
      </c>
      <c r="E205" t="s">
        <v>9</v>
      </c>
      <c r="F205">
        <v>108378</v>
      </c>
      <c r="G205">
        <v>62942</v>
      </c>
      <c r="H205">
        <v>45436</v>
      </c>
      <c r="I205">
        <v>15934</v>
      </c>
    </row>
    <row r="206" spans="1:9" x14ac:dyDescent="0.3">
      <c r="A206" t="s">
        <v>27</v>
      </c>
      <c r="B206">
        <f>MONTH(financial_status[[#This Row],[Date]])</f>
        <v>8</v>
      </c>
      <c r="C206">
        <f>YEAR(financial_status[[#This Row],[Date]])</f>
        <v>2023</v>
      </c>
      <c r="D206" t="s">
        <v>8</v>
      </c>
      <c r="E206" t="s">
        <v>19</v>
      </c>
      <c r="F206">
        <v>113605</v>
      </c>
      <c r="G206">
        <v>46617</v>
      </c>
      <c r="H206">
        <v>66988</v>
      </c>
      <c r="I206">
        <v>5617</v>
      </c>
    </row>
    <row r="207" spans="1:9" x14ac:dyDescent="0.3">
      <c r="A207" t="s">
        <v>179</v>
      </c>
      <c r="B207">
        <f>MONTH(financial_status[[#This Row],[Date]])</f>
        <v>8</v>
      </c>
      <c r="C207">
        <f>YEAR(financial_status[[#This Row],[Date]])</f>
        <v>2023</v>
      </c>
      <c r="D207" t="s">
        <v>21</v>
      </c>
      <c r="E207" t="s">
        <v>23</v>
      </c>
      <c r="F207">
        <v>64321</v>
      </c>
      <c r="G207">
        <v>18713</v>
      </c>
      <c r="H207">
        <v>45608</v>
      </c>
      <c r="I207">
        <v>7394</v>
      </c>
    </row>
    <row r="208" spans="1:9" x14ac:dyDescent="0.3">
      <c r="A208" t="s">
        <v>195</v>
      </c>
      <c r="B208">
        <f>MONTH(financial_status[[#This Row],[Date]])</f>
        <v>8</v>
      </c>
      <c r="C208">
        <f>YEAR(financial_status[[#This Row],[Date]])</f>
        <v>2023</v>
      </c>
      <c r="D208" t="s">
        <v>21</v>
      </c>
      <c r="E208" t="s">
        <v>19</v>
      </c>
      <c r="F208">
        <v>64017</v>
      </c>
      <c r="G208">
        <v>36022</v>
      </c>
      <c r="H208">
        <v>27995</v>
      </c>
      <c r="I208">
        <v>7257</v>
      </c>
    </row>
    <row r="209" spans="1:9" x14ac:dyDescent="0.3">
      <c r="A209" t="s">
        <v>44</v>
      </c>
      <c r="B209">
        <f>MONTH(financial_status[[#This Row],[Date]])</f>
        <v>8</v>
      </c>
      <c r="C209">
        <f>YEAR(financial_status[[#This Row],[Date]])</f>
        <v>2023</v>
      </c>
      <c r="D209" t="s">
        <v>15</v>
      </c>
      <c r="E209" t="s">
        <v>9</v>
      </c>
      <c r="F209">
        <v>69449</v>
      </c>
      <c r="G209">
        <v>58325</v>
      </c>
      <c r="H209">
        <v>11124</v>
      </c>
      <c r="I209">
        <v>9573</v>
      </c>
    </row>
    <row r="210" spans="1:9" x14ac:dyDescent="0.3">
      <c r="A210" t="s">
        <v>174</v>
      </c>
      <c r="B210">
        <f>MONTH(financial_status[[#This Row],[Date]])</f>
        <v>8</v>
      </c>
      <c r="C210">
        <f>YEAR(financial_status[[#This Row],[Date]])</f>
        <v>2023</v>
      </c>
      <c r="D210" t="s">
        <v>8</v>
      </c>
      <c r="E210" t="s">
        <v>23</v>
      </c>
      <c r="F210">
        <v>119417</v>
      </c>
      <c r="G210">
        <v>25694</v>
      </c>
      <c r="H210">
        <v>93723</v>
      </c>
      <c r="I210">
        <v>14105</v>
      </c>
    </row>
    <row r="211" spans="1:9" x14ac:dyDescent="0.3">
      <c r="A211" t="s">
        <v>107</v>
      </c>
      <c r="B211">
        <f>MONTH(financial_status[[#This Row],[Date]])</f>
        <v>8</v>
      </c>
      <c r="C211">
        <f>YEAR(financial_status[[#This Row],[Date]])</f>
        <v>2023</v>
      </c>
      <c r="D211" t="s">
        <v>11</v>
      </c>
      <c r="E211" t="s">
        <v>12</v>
      </c>
      <c r="F211">
        <v>108736</v>
      </c>
      <c r="G211">
        <v>55197</v>
      </c>
      <c r="H211">
        <v>53539</v>
      </c>
      <c r="I211">
        <v>3136</v>
      </c>
    </row>
    <row r="212" spans="1:9" x14ac:dyDescent="0.3">
      <c r="A212" t="s">
        <v>139</v>
      </c>
      <c r="B212">
        <f>MONTH(financial_status[[#This Row],[Date]])</f>
        <v>8</v>
      </c>
      <c r="C212">
        <f>YEAR(financial_status[[#This Row],[Date]])</f>
        <v>2023</v>
      </c>
      <c r="D212" t="s">
        <v>15</v>
      </c>
      <c r="E212" t="s">
        <v>23</v>
      </c>
      <c r="F212">
        <v>110001</v>
      </c>
      <c r="G212">
        <v>24891</v>
      </c>
      <c r="H212">
        <v>85110</v>
      </c>
      <c r="I212">
        <v>19223</v>
      </c>
    </row>
    <row r="213" spans="1:9" x14ac:dyDescent="0.3">
      <c r="A213" t="s">
        <v>190</v>
      </c>
      <c r="B213">
        <f>MONTH(financial_status[[#This Row],[Date]])</f>
        <v>9</v>
      </c>
      <c r="C213">
        <f>YEAR(financial_status[[#This Row],[Date]])</f>
        <v>2023</v>
      </c>
      <c r="D213" t="s">
        <v>15</v>
      </c>
      <c r="E213" t="s">
        <v>23</v>
      </c>
      <c r="F213">
        <v>85407</v>
      </c>
      <c r="G213">
        <v>18872</v>
      </c>
      <c r="H213">
        <v>66535</v>
      </c>
      <c r="I213">
        <v>5825</v>
      </c>
    </row>
    <row r="214" spans="1:9" x14ac:dyDescent="0.3">
      <c r="A214" t="s">
        <v>233</v>
      </c>
      <c r="B214">
        <f>MONTH(financial_status[[#This Row],[Date]])</f>
        <v>9</v>
      </c>
      <c r="C214">
        <f>YEAR(financial_status[[#This Row],[Date]])</f>
        <v>2023</v>
      </c>
      <c r="D214" t="s">
        <v>8</v>
      </c>
      <c r="E214" t="s">
        <v>9</v>
      </c>
      <c r="F214">
        <v>93762</v>
      </c>
      <c r="G214">
        <v>78146</v>
      </c>
      <c r="H214">
        <v>15616</v>
      </c>
      <c r="I214">
        <v>2100</v>
      </c>
    </row>
    <row r="215" spans="1:9" x14ac:dyDescent="0.3">
      <c r="A215" t="s">
        <v>94</v>
      </c>
      <c r="B215">
        <f>MONTH(financial_status[[#This Row],[Date]])</f>
        <v>9</v>
      </c>
      <c r="C215">
        <f>YEAR(financial_status[[#This Row],[Date]])</f>
        <v>2023</v>
      </c>
      <c r="D215" t="s">
        <v>8</v>
      </c>
      <c r="E215" t="s">
        <v>9</v>
      </c>
      <c r="F215">
        <v>88847</v>
      </c>
      <c r="G215">
        <v>14764</v>
      </c>
      <c r="H215">
        <v>74083</v>
      </c>
      <c r="I215">
        <v>8733</v>
      </c>
    </row>
    <row r="216" spans="1:9" x14ac:dyDescent="0.3">
      <c r="A216" t="s">
        <v>187</v>
      </c>
      <c r="B216">
        <f>MONTH(financial_status[[#This Row],[Date]])</f>
        <v>9</v>
      </c>
      <c r="C216">
        <f>YEAR(financial_status[[#This Row],[Date]])</f>
        <v>2023</v>
      </c>
      <c r="D216" t="s">
        <v>21</v>
      </c>
      <c r="E216" t="s">
        <v>12</v>
      </c>
      <c r="F216">
        <v>103165</v>
      </c>
      <c r="G216">
        <v>65314</v>
      </c>
      <c r="H216">
        <v>37851</v>
      </c>
      <c r="I216">
        <v>16343</v>
      </c>
    </row>
    <row r="217" spans="1:9" x14ac:dyDescent="0.3">
      <c r="A217" t="s">
        <v>239</v>
      </c>
      <c r="B217">
        <f>MONTH(financial_status[[#This Row],[Date]])</f>
        <v>9</v>
      </c>
      <c r="C217">
        <f>YEAR(financial_status[[#This Row],[Date]])</f>
        <v>2023</v>
      </c>
      <c r="D217" t="s">
        <v>21</v>
      </c>
      <c r="E217" t="s">
        <v>12</v>
      </c>
      <c r="F217">
        <v>44768</v>
      </c>
      <c r="G217">
        <v>80383</v>
      </c>
      <c r="H217">
        <v>-35615</v>
      </c>
      <c r="I217">
        <v>11877</v>
      </c>
    </row>
    <row r="218" spans="1:9" x14ac:dyDescent="0.3">
      <c r="A218" t="s">
        <v>196</v>
      </c>
      <c r="B218">
        <f>MONTH(financial_status[[#This Row],[Date]])</f>
        <v>9</v>
      </c>
      <c r="C218">
        <f>YEAR(financial_status[[#This Row],[Date]])</f>
        <v>2023</v>
      </c>
      <c r="D218" t="s">
        <v>8</v>
      </c>
      <c r="E218" t="s">
        <v>9</v>
      </c>
      <c r="F218">
        <v>107899</v>
      </c>
      <c r="G218">
        <v>23554</v>
      </c>
      <c r="H218">
        <v>84345</v>
      </c>
      <c r="I218">
        <v>13901</v>
      </c>
    </row>
    <row r="219" spans="1:9" x14ac:dyDescent="0.3">
      <c r="A219" t="s">
        <v>242</v>
      </c>
      <c r="B219">
        <f>MONTH(financial_status[[#This Row],[Date]])</f>
        <v>9</v>
      </c>
      <c r="C219">
        <f>YEAR(financial_status[[#This Row],[Date]])</f>
        <v>2023</v>
      </c>
      <c r="D219" t="s">
        <v>8</v>
      </c>
      <c r="E219" t="s">
        <v>19</v>
      </c>
      <c r="F219">
        <v>98965</v>
      </c>
      <c r="G219">
        <v>73153</v>
      </c>
      <c r="H219">
        <v>25812</v>
      </c>
      <c r="I219">
        <v>14819</v>
      </c>
    </row>
    <row r="220" spans="1:9" x14ac:dyDescent="0.3">
      <c r="A220" t="s">
        <v>111</v>
      </c>
      <c r="B220">
        <f>MONTH(financial_status[[#This Row],[Date]])</f>
        <v>9</v>
      </c>
      <c r="C220">
        <f>YEAR(financial_status[[#This Row],[Date]])</f>
        <v>2023</v>
      </c>
      <c r="D220" t="s">
        <v>11</v>
      </c>
      <c r="E220" t="s">
        <v>12</v>
      </c>
      <c r="F220">
        <v>101505</v>
      </c>
      <c r="G220">
        <v>14435</v>
      </c>
      <c r="H220">
        <v>87070</v>
      </c>
      <c r="I220">
        <v>10785</v>
      </c>
    </row>
    <row r="221" spans="1:9" x14ac:dyDescent="0.3">
      <c r="A221" t="s">
        <v>163</v>
      </c>
      <c r="B221">
        <f>MONTH(financial_status[[#This Row],[Date]])</f>
        <v>9</v>
      </c>
      <c r="C221">
        <f>YEAR(financial_status[[#This Row],[Date]])</f>
        <v>2023</v>
      </c>
      <c r="D221" t="s">
        <v>15</v>
      </c>
      <c r="E221" t="s">
        <v>12</v>
      </c>
      <c r="F221">
        <v>95882</v>
      </c>
      <c r="G221">
        <v>19013</v>
      </c>
      <c r="H221">
        <v>76869</v>
      </c>
      <c r="I221">
        <v>17019</v>
      </c>
    </row>
    <row r="222" spans="1:9" x14ac:dyDescent="0.3">
      <c r="A222" t="s">
        <v>156</v>
      </c>
      <c r="B222">
        <f>MONTH(financial_status[[#This Row],[Date]])</f>
        <v>9</v>
      </c>
      <c r="C222">
        <f>YEAR(financial_status[[#This Row],[Date]])</f>
        <v>2023</v>
      </c>
      <c r="D222" t="s">
        <v>15</v>
      </c>
      <c r="E222" t="s">
        <v>19</v>
      </c>
      <c r="F222">
        <v>28852</v>
      </c>
      <c r="G222">
        <v>69309</v>
      </c>
      <c r="H222">
        <v>-40457</v>
      </c>
      <c r="I222">
        <v>11453</v>
      </c>
    </row>
    <row r="223" spans="1:9" x14ac:dyDescent="0.3">
      <c r="A223" t="s">
        <v>86</v>
      </c>
      <c r="B223">
        <f>MONTH(financial_status[[#This Row],[Date]])</f>
        <v>9</v>
      </c>
      <c r="C223">
        <f>YEAR(financial_status[[#This Row],[Date]])</f>
        <v>2023</v>
      </c>
      <c r="D223" t="s">
        <v>8</v>
      </c>
      <c r="E223" t="s">
        <v>12</v>
      </c>
      <c r="F223">
        <v>28128</v>
      </c>
      <c r="G223">
        <v>18111</v>
      </c>
      <c r="H223">
        <v>10017</v>
      </c>
      <c r="I223">
        <v>11080</v>
      </c>
    </row>
    <row r="224" spans="1:9" x14ac:dyDescent="0.3">
      <c r="A224" t="s">
        <v>193</v>
      </c>
      <c r="B224">
        <f>MONTH(financial_status[[#This Row],[Date]])</f>
        <v>9</v>
      </c>
      <c r="C224">
        <f>YEAR(financial_status[[#This Row],[Date]])</f>
        <v>2023</v>
      </c>
      <c r="D224" t="s">
        <v>11</v>
      </c>
      <c r="E224" t="s">
        <v>23</v>
      </c>
      <c r="F224">
        <v>104236</v>
      </c>
      <c r="G224">
        <v>21540</v>
      </c>
      <c r="H224">
        <v>82696</v>
      </c>
      <c r="I224">
        <v>10687</v>
      </c>
    </row>
    <row r="225" spans="1:9" x14ac:dyDescent="0.3">
      <c r="A225" t="s">
        <v>209</v>
      </c>
      <c r="B225">
        <f>MONTH(financial_status[[#This Row],[Date]])</f>
        <v>10</v>
      </c>
      <c r="C225">
        <f>YEAR(financial_status[[#This Row],[Date]])</f>
        <v>2023</v>
      </c>
      <c r="D225" t="s">
        <v>8</v>
      </c>
      <c r="E225" t="s">
        <v>19</v>
      </c>
      <c r="F225">
        <v>104150</v>
      </c>
      <c r="G225">
        <v>29442</v>
      </c>
      <c r="H225">
        <v>74708</v>
      </c>
      <c r="I225">
        <v>18844</v>
      </c>
    </row>
    <row r="226" spans="1:9" x14ac:dyDescent="0.3">
      <c r="A226" t="s">
        <v>50</v>
      </c>
      <c r="B226">
        <f>MONTH(financial_status[[#This Row],[Date]])</f>
        <v>10</v>
      </c>
      <c r="C226">
        <f>YEAR(financial_status[[#This Row],[Date]])</f>
        <v>2023</v>
      </c>
      <c r="D226" t="s">
        <v>11</v>
      </c>
      <c r="E226" t="s">
        <v>19</v>
      </c>
      <c r="F226">
        <v>118887</v>
      </c>
      <c r="G226">
        <v>31564</v>
      </c>
      <c r="H226">
        <v>87323</v>
      </c>
      <c r="I226">
        <v>7244</v>
      </c>
    </row>
    <row r="227" spans="1:9" x14ac:dyDescent="0.3">
      <c r="A227" t="s">
        <v>178</v>
      </c>
      <c r="B227">
        <f>MONTH(financial_status[[#This Row],[Date]])</f>
        <v>10</v>
      </c>
      <c r="C227">
        <f>YEAR(financial_status[[#This Row],[Date]])</f>
        <v>2023</v>
      </c>
      <c r="D227" t="s">
        <v>8</v>
      </c>
      <c r="E227" t="s">
        <v>23</v>
      </c>
      <c r="F227">
        <v>116504</v>
      </c>
      <c r="G227">
        <v>83779</v>
      </c>
      <c r="H227">
        <v>32725</v>
      </c>
      <c r="I227">
        <v>10098</v>
      </c>
    </row>
    <row r="228" spans="1:9" x14ac:dyDescent="0.3">
      <c r="A228" t="s">
        <v>121</v>
      </c>
      <c r="B228">
        <f>MONTH(financial_status[[#This Row],[Date]])</f>
        <v>10</v>
      </c>
      <c r="C228">
        <f>YEAR(financial_status[[#This Row],[Date]])</f>
        <v>2023</v>
      </c>
      <c r="D228" t="s">
        <v>15</v>
      </c>
      <c r="E228" t="s">
        <v>9</v>
      </c>
      <c r="F228">
        <v>98628</v>
      </c>
      <c r="G228">
        <v>35427</v>
      </c>
      <c r="H228">
        <v>63201</v>
      </c>
      <c r="I228">
        <v>15749</v>
      </c>
    </row>
    <row r="229" spans="1:9" x14ac:dyDescent="0.3">
      <c r="A229" t="s">
        <v>20</v>
      </c>
      <c r="B229">
        <f>MONTH(financial_status[[#This Row],[Date]])</f>
        <v>10</v>
      </c>
      <c r="C229">
        <f>YEAR(financial_status[[#This Row],[Date]])</f>
        <v>2023</v>
      </c>
      <c r="D229" t="s">
        <v>21</v>
      </c>
      <c r="E229" t="s">
        <v>9</v>
      </c>
      <c r="F229">
        <v>56582</v>
      </c>
      <c r="G229">
        <v>37278</v>
      </c>
      <c r="H229">
        <v>19304</v>
      </c>
      <c r="I229">
        <v>17179</v>
      </c>
    </row>
    <row r="230" spans="1:9" x14ac:dyDescent="0.3">
      <c r="A230" t="s">
        <v>13</v>
      </c>
      <c r="B230">
        <f>MONTH(financial_status[[#This Row],[Date]])</f>
        <v>10</v>
      </c>
      <c r="C230">
        <f>YEAR(financial_status[[#This Row],[Date]])</f>
        <v>2023</v>
      </c>
      <c r="D230" t="s">
        <v>8</v>
      </c>
      <c r="E230" t="s">
        <v>12</v>
      </c>
      <c r="F230">
        <v>54531</v>
      </c>
      <c r="G230">
        <v>29322</v>
      </c>
      <c r="H230">
        <v>25209</v>
      </c>
      <c r="I230">
        <v>18534</v>
      </c>
    </row>
    <row r="231" spans="1:9" x14ac:dyDescent="0.3">
      <c r="A231" t="s">
        <v>13</v>
      </c>
      <c r="B231">
        <f>MONTH(financial_status[[#This Row],[Date]])</f>
        <v>10</v>
      </c>
      <c r="C231">
        <f>YEAR(financial_status[[#This Row],[Date]])</f>
        <v>2023</v>
      </c>
      <c r="D231" t="s">
        <v>11</v>
      </c>
      <c r="E231" t="s">
        <v>9</v>
      </c>
      <c r="F231">
        <v>59401</v>
      </c>
      <c r="G231">
        <v>80586</v>
      </c>
      <c r="H231">
        <v>-21185</v>
      </c>
      <c r="I231">
        <v>8193</v>
      </c>
    </row>
    <row r="232" spans="1:9" x14ac:dyDescent="0.3">
      <c r="A232" t="s">
        <v>13</v>
      </c>
      <c r="B232">
        <f>MONTH(financial_status[[#This Row],[Date]])</f>
        <v>10</v>
      </c>
      <c r="C232">
        <f>YEAR(financial_status[[#This Row],[Date]])</f>
        <v>2023</v>
      </c>
      <c r="D232" t="s">
        <v>15</v>
      </c>
      <c r="E232" t="s">
        <v>9</v>
      </c>
      <c r="F232">
        <v>43681</v>
      </c>
      <c r="G232">
        <v>27808</v>
      </c>
      <c r="H232">
        <v>15873</v>
      </c>
      <c r="I232">
        <v>3979</v>
      </c>
    </row>
    <row r="233" spans="1:9" x14ac:dyDescent="0.3">
      <c r="A233" t="s">
        <v>228</v>
      </c>
      <c r="B233">
        <f>MONTH(financial_status[[#This Row],[Date]])</f>
        <v>10</v>
      </c>
      <c r="C233">
        <f>YEAR(financial_status[[#This Row],[Date]])</f>
        <v>2023</v>
      </c>
      <c r="D233" t="s">
        <v>21</v>
      </c>
      <c r="E233" t="s">
        <v>23</v>
      </c>
      <c r="F233">
        <v>98699</v>
      </c>
      <c r="G233">
        <v>63972</v>
      </c>
      <c r="H233">
        <v>34727</v>
      </c>
      <c r="I233">
        <v>17426</v>
      </c>
    </row>
    <row r="234" spans="1:9" x14ac:dyDescent="0.3">
      <c r="A234" t="s">
        <v>264</v>
      </c>
      <c r="B234">
        <f>MONTH(financial_status[[#This Row],[Date]])</f>
        <v>10</v>
      </c>
      <c r="C234">
        <f>YEAR(financial_status[[#This Row],[Date]])</f>
        <v>2023</v>
      </c>
      <c r="D234" t="s">
        <v>8</v>
      </c>
      <c r="E234" t="s">
        <v>9</v>
      </c>
      <c r="F234">
        <v>48744</v>
      </c>
      <c r="G234">
        <v>18999</v>
      </c>
      <c r="H234">
        <v>29745</v>
      </c>
      <c r="I234">
        <v>7592</v>
      </c>
    </row>
    <row r="235" spans="1:9" x14ac:dyDescent="0.3">
      <c r="A235" t="s">
        <v>29</v>
      </c>
      <c r="B235">
        <f>MONTH(financial_status[[#This Row],[Date]])</f>
        <v>10</v>
      </c>
      <c r="C235">
        <f>YEAR(financial_status[[#This Row],[Date]])</f>
        <v>2023</v>
      </c>
      <c r="D235" t="s">
        <v>11</v>
      </c>
      <c r="E235" t="s">
        <v>19</v>
      </c>
      <c r="F235">
        <v>39284</v>
      </c>
      <c r="G235">
        <v>57365</v>
      </c>
      <c r="H235">
        <v>-18081</v>
      </c>
      <c r="I235">
        <v>15234</v>
      </c>
    </row>
    <row r="236" spans="1:9" x14ac:dyDescent="0.3">
      <c r="A236" t="s">
        <v>110</v>
      </c>
      <c r="B236">
        <f>MONTH(financial_status[[#This Row],[Date]])</f>
        <v>10</v>
      </c>
      <c r="C236">
        <f>YEAR(financial_status[[#This Row],[Date]])</f>
        <v>2023</v>
      </c>
      <c r="D236" t="s">
        <v>21</v>
      </c>
      <c r="E236" t="s">
        <v>23</v>
      </c>
      <c r="F236">
        <v>83083</v>
      </c>
      <c r="G236">
        <v>46867</v>
      </c>
      <c r="H236">
        <v>36216</v>
      </c>
      <c r="I236">
        <v>11879</v>
      </c>
    </row>
    <row r="237" spans="1:9" x14ac:dyDescent="0.3">
      <c r="A237" t="s">
        <v>83</v>
      </c>
      <c r="B237">
        <f>MONTH(financial_status[[#This Row],[Date]])</f>
        <v>11</v>
      </c>
      <c r="C237">
        <f>YEAR(financial_status[[#This Row],[Date]])</f>
        <v>2023</v>
      </c>
      <c r="D237" t="s">
        <v>15</v>
      </c>
      <c r="E237" t="s">
        <v>23</v>
      </c>
      <c r="F237">
        <v>65703</v>
      </c>
      <c r="G237">
        <v>60311</v>
      </c>
      <c r="H237">
        <v>5392</v>
      </c>
      <c r="I237">
        <v>4682</v>
      </c>
    </row>
    <row r="238" spans="1:9" x14ac:dyDescent="0.3">
      <c r="A238" t="s">
        <v>201</v>
      </c>
      <c r="B238">
        <f>MONTH(financial_status[[#This Row],[Date]])</f>
        <v>11</v>
      </c>
      <c r="C238">
        <f>YEAR(financial_status[[#This Row],[Date]])</f>
        <v>2023</v>
      </c>
      <c r="D238" t="s">
        <v>21</v>
      </c>
      <c r="E238" t="s">
        <v>19</v>
      </c>
      <c r="F238">
        <v>113155</v>
      </c>
      <c r="G238">
        <v>70590</v>
      </c>
      <c r="H238">
        <v>42565</v>
      </c>
      <c r="I238">
        <v>15679</v>
      </c>
    </row>
    <row r="239" spans="1:9" x14ac:dyDescent="0.3">
      <c r="A239" t="s">
        <v>138</v>
      </c>
      <c r="B239">
        <f>MONTH(financial_status[[#This Row],[Date]])</f>
        <v>11</v>
      </c>
      <c r="C239">
        <f>YEAR(financial_status[[#This Row],[Date]])</f>
        <v>2023</v>
      </c>
      <c r="D239" t="s">
        <v>11</v>
      </c>
      <c r="E239" t="s">
        <v>23</v>
      </c>
      <c r="F239">
        <v>74608</v>
      </c>
      <c r="G239">
        <v>26745</v>
      </c>
      <c r="H239">
        <v>47863</v>
      </c>
      <c r="I239">
        <v>16491</v>
      </c>
    </row>
    <row r="240" spans="1:9" x14ac:dyDescent="0.3">
      <c r="A240" t="s">
        <v>61</v>
      </c>
      <c r="B240">
        <f>MONTH(financial_status[[#This Row],[Date]])</f>
        <v>11</v>
      </c>
      <c r="C240">
        <f>YEAR(financial_status[[#This Row],[Date]])</f>
        <v>2023</v>
      </c>
      <c r="D240" t="s">
        <v>21</v>
      </c>
      <c r="E240" t="s">
        <v>9</v>
      </c>
      <c r="F240">
        <v>26572</v>
      </c>
      <c r="G240">
        <v>46053</v>
      </c>
      <c r="H240">
        <v>-19481</v>
      </c>
      <c r="I240">
        <v>10198</v>
      </c>
    </row>
    <row r="241" spans="1:9" x14ac:dyDescent="0.3">
      <c r="A241" t="s">
        <v>269</v>
      </c>
      <c r="B241">
        <f>MONTH(financial_status[[#This Row],[Date]])</f>
        <v>11</v>
      </c>
      <c r="C241">
        <f>YEAR(financial_status[[#This Row],[Date]])</f>
        <v>2023</v>
      </c>
      <c r="D241" t="s">
        <v>8</v>
      </c>
      <c r="E241" t="s">
        <v>12</v>
      </c>
      <c r="F241">
        <v>90527</v>
      </c>
      <c r="G241">
        <v>50907</v>
      </c>
      <c r="H241">
        <v>39620</v>
      </c>
      <c r="I241">
        <v>16147</v>
      </c>
    </row>
    <row r="242" spans="1:9" x14ac:dyDescent="0.3">
      <c r="A242" t="s">
        <v>31</v>
      </c>
      <c r="B242">
        <f>MONTH(financial_status[[#This Row],[Date]])</f>
        <v>11</v>
      </c>
      <c r="C242">
        <f>YEAR(financial_status[[#This Row],[Date]])</f>
        <v>2023</v>
      </c>
      <c r="D242" t="s">
        <v>15</v>
      </c>
      <c r="E242" t="s">
        <v>12</v>
      </c>
      <c r="F242">
        <v>37563</v>
      </c>
      <c r="G242">
        <v>64363</v>
      </c>
      <c r="H242">
        <v>-26800</v>
      </c>
      <c r="I242">
        <v>12375</v>
      </c>
    </row>
    <row r="243" spans="1:9" x14ac:dyDescent="0.3">
      <c r="A243" t="s">
        <v>244</v>
      </c>
      <c r="B243">
        <f>MONTH(financial_status[[#This Row],[Date]])</f>
        <v>11</v>
      </c>
      <c r="C243">
        <f>YEAR(financial_status[[#This Row],[Date]])</f>
        <v>2023</v>
      </c>
      <c r="D243" t="s">
        <v>11</v>
      </c>
      <c r="E243" t="s">
        <v>23</v>
      </c>
      <c r="F243">
        <v>65697</v>
      </c>
      <c r="G243">
        <v>15550</v>
      </c>
      <c r="H243">
        <v>50147</v>
      </c>
      <c r="I243">
        <v>10517</v>
      </c>
    </row>
    <row r="244" spans="1:9" x14ac:dyDescent="0.3">
      <c r="A244" t="s">
        <v>34</v>
      </c>
      <c r="B244">
        <f>MONTH(financial_status[[#This Row],[Date]])</f>
        <v>11</v>
      </c>
      <c r="C244">
        <f>YEAR(financial_status[[#This Row],[Date]])</f>
        <v>2023</v>
      </c>
      <c r="D244" t="s">
        <v>8</v>
      </c>
      <c r="E244" t="s">
        <v>19</v>
      </c>
      <c r="F244">
        <v>57991</v>
      </c>
      <c r="G244">
        <v>32583</v>
      </c>
      <c r="H244">
        <v>25408</v>
      </c>
      <c r="I244">
        <v>16858</v>
      </c>
    </row>
    <row r="245" spans="1:9" x14ac:dyDescent="0.3">
      <c r="A245" t="s">
        <v>105</v>
      </c>
      <c r="B245">
        <f>MONTH(financial_status[[#This Row],[Date]])</f>
        <v>11</v>
      </c>
      <c r="C245">
        <f>YEAR(financial_status[[#This Row],[Date]])</f>
        <v>2023</v>
      </c>
      <c r="D245" t="s">
        <v>15</v>
      </c>
      <c r="E245" t="s">
        <v>9</v>
      </c>
      <c r="F245">
        <v>34199</v>
      </c>
      <c r="G245">
        <v>30840</v>
      </c>
      <c r="H245">
        <v>3359</v>
      </c>
      <c r="I245">
        <v>14771</v>
      </c>
    </row>
    <row r="246" spans="1:9" x14ac:dyDescent="0.3">
      <c r="A246" t="s">
        <v>100</v>
      </c>
      <c r="B246">
        <f>MONTH(financial_status[[#This Row],[Date]])</f>
        <v>11</v>
      </c>
      <c r="C246">
        <f>YEAR(financial_status[[#This Row],[Date]])</f>
        <v>2023</v>
      </c>
      <c r="D246" t="s">
        <v>15</v>
      </c>
      <c r="E246" t="s">
        <v>23</v>
      </c>
      <c r="F246">
        <v>104237</v>
      </c>
      <c r="G246">
        <v>45161</v>
      </c>
      <c r="H246">
        <v>59076</v>
      </c>
      <c r="I246">
        <v>18756</v>
      </c>
    </row>
    <row r="247" spans="1:9" x14ac:dyDescent="0.3">
      <c r="A247" t="s">
        <v>100</v>
      </c>
      <c r="B247">
        <f>MONTH(financial_status[[#This Row],[Date]])</f>
        <v>11</v>
      </c>
      <c r="C247">
        <f>YEAR(financial_status[[#This Row],[Date]])</f>
        <v>2023</v>
      </c>
      <c r="D247" t="s">
        <v>8</v>
      </c>
      <c r="E247" t="s">
        <v>12</v>
      </c>
      <c r="F247">
        <v>113636</v>
      </c>
      <c r="G247">
        <v>12555</v>
      </c>
      <c r="H247">
        <v>101081</v>
      </c>
      <c r="I247">
        <v>19430</v>
      </c>
    </row>
    <row r="248" spans="1:9" x14ac:dyDescent="0.3">
      <c r="A248" t="s">
        <v>100</v>
      </c>
      <c r="B248">
        <f>MONTH(financial_status[[#This Row],[Date]])</f>
        <v>11</v>
      </c>
      <c r="C248">
        <f>YEAR(financial_status[[#This Row],[Date]])</f>
        <v>2023</v>
      </c>
      <c r="D248" t="s">
        <v>15</v>
      </c>
      <c r="E248" t="s">
        <v>12</v>
      </c>
      <c r="F248">
        <v>33585</v>
      </c>
      <c r="G248">
        <v>83320</v>
      </c>
      <c r="H248">
        <v>-49735</v>
      </c>
      <c r="I248">
        <v>5648</v>
      </c>
    </row>
    <row r="249" spans="1:9" x14ac:dyDescent="0.3">
      <c r="A249" t="s">
        <v>39</v>
      </c>
      <c r="B249">
        <f>MONTH(financial_status[[#This Row],[Date]])</f>
        <v>12</v>
      </c>
      <c r="C249">
        <f>YEAR(financial_status[[#This Row],[Date]])</f>
        <v>2023</v>
      </c>
      <c r="D249" t="s">
        <v>8</v>
      </c>
      <c r="E249" t="s">
        <v>19</v>
      </c>
      <c r="F249">
        <v>115690</v>
      </c>
      <c r="G249">
        <v>39278</v>
      </c>
      <c r="H249">
        <v>76412</v>
      </c>
      <c r="I249">
        <v>12378</v>
      </c>
    </row>
    <row r="250" spans="1:9" x14ac:dyDescent="0.3">
      <c r="A250" t="s">
        <v>99</v>
      </c>
      <c r="B250">
        <f>MONTH(financial_status[[#This Row],[Date]])</f>
        <v>12</v>
      </c>
      <c r="C250">
        <f>YEAR(financial_status[[#This Row],[Date]])</f>
        <v>2023</v>
      </c>
      <c r="D250" t="s">
        <v>11</v>
      </c>
      <c r="E250" t="s">
        <v>9</v>
      </c>
      <c r="F250">
        <v>20735</v>
      </c>
      <c r="G250">
        <v>53685</v>
      </c>
      <c r="H250">
        <v>-32950</v>
      </c>
      <c r="I250">
        <v>15055</v>
      </c>
    </row>
    <row r="251" spans="1:9" x14ac:dyDescent="0.3">
      <c r="A251" t="s">
        <v>214</v>
      </c>
      <c r="B251">
        <f>MONTH(financial_status[[#This Row],[Date]])</f>
        <v>12</v>
      </c>
      <c r="C251">
        <f>YEAR(financial_status[[#This Row],[Date]])</f>
        <v>2023</v>
      </c>
      <c r="D251" t="s">
        <v>15</v>
      </c>
      <c r="E251" t="s">
        <v>12</v>
      </c>
      <c r="F251">
        <v>61240</v>
      </c>
      <c r="G251">
        <v>52151</v>
      </c>
      <c r="H251">
        <v>9089</v>
      </c>
      <c r="I251">
        <v>11270</v>
      </c>
    </row>
    <row r="252" spans="1:9" x14ac:dyDescent="0.3">
      <c r="A252" t="s">
        <v>92</v>
      </c>
      <c r="B252">
        <f>MONTH(financial_status[[#This Row],[Date]])</f>
        <v>12</v>
      </c>
      <c r="C252">
        <f>YEAR(financial_status[[#This Row],[Date]])</f>
        <v>2023</v>
      </c>
      <c r="D252" t="s">
        <v>15</v>
      </c>
      <c r="E252" t="s">
        <v>9</v>
      </c>
      <c r="F252">
        <v>83856</v>
      </c>
      <c r="G252">
        <v>45502</v>
      </c>
      <c r="H252">
        <v>38354</v>
      </c>
      <c r="I252">
        <v>17938</v>
      </c>
    </row>
    <row r="253" spans="1:9" x14ac:dyDescent="0.3">
      <c r="A253" t="s">
        <v>49</v>
      </c>
      <c r="B253">
        <f>MONTH(financial_status[[#This Row],[Date]])</f>
        <v>12</v>
      </c>
      <c r="C253">
        <f>YEAR(financial_status[[#This Row],[Date]])</f>
        <v>2023</v>
      </c>
      <c r="D253" t="s">
        <v>11</v>
      </c>
      <c r="E253" t="s">
        <v>19</v>
      </c>
      <c r="F253">
        <v>75280</v>
      </c>
      <c r="G253">
        <v>65516</v>
      </c>
      <c r="H253">
        <v>9764</v>
      </c>
      <c r="I253">
        <v>19084</v>
      </c>
    </row>
    <row r="254" spans="1:9" x14ac:dyDescent="0.3">
      <c r="A254" t="s">
        <v>49</v>
      </c>
      <c r="B254">
        <f>MONTH(financial_status[[#This Row],[Date]])</f>
        <v>12</v>
      </c>
      <c r="C254">
        <f>YEAR(financial_status[[#This Row],[Date]])</f>
        <v>2023</v>
      </c>
      <c r="D254" t="s">
        <v>8</v>
      </c>
      <c r="E254" t="s">
        <v>9</v>
      </c>
      <c r="F254">
        <v>69298</v>
      </c>
      <c r="G254">
        <v>51686</v>
      </c>
      <c r="H254">
        <v>17612</v>
      </c>
      <c r="I254">
        <v>2901</v>
      </c>
    </row>
    <row r="255" spans="1:9" x14ac:dyDescent="0.3">
      <c r="A255" t="s">
        <v>76</v>
      </c>
      <c r="B255">
        <f>MONTH(financial_status[[#This Row],[Date]])</f>
        <v>12</v>
      </c>
      <c r="C255">
        <f>YEAR(financial_status[[#This Row],[Date]])</f>
        <v>2023</v>
      </c>
      <c r="D255" t="s">
        <v>11</v>
      </c>
      <c r="E255" t="s">
        <v>19</v>
      </c>
      <c r="F255">
        <v>50741</v>
      </c>
      <c r="G255">
        <v>28461</v>
      </c>
      <c r="H255">
        <v>22280</v>
      </c>
      <c r="I255">
        <v>6529</v>
      </c>
    </row>
    <row r="256" spans="1:9" x14ac:dyDescent="0.3">
      <c r="A256" t="s">
        <v>151</v>
      </c>
      <c r="B256">
        <f>MONTH(financial_status[[#This Row],[Date]])</f>
        <v>12</v>
      </c>
      <c r="C256">
        <f>YEAR(financial_status[[#This Row],[Date]])</f>
        <v>2023</v>
      </c>
      <c r="D256" t="s">
        <v>11</v>
      </c>
      <c r="E256" t="s">
        <v>19</v>
      </c>
      <c r="F256">
        <v>51137</v>
      </c>
      <c r="G256">
        <v>65431</v>
      </c>
      <c r="H256">
        <v>-14294</v>
      </c>
      <c r="I256">
        <v>10326</v>
      </c>
    </row>
    <row r="257" spans="1:9" x14ac:dyDescent="0.3">
      <c r="A257" t="s">
        <v>43</v>
      </c>
      <c r="B257">
        <f>MONTH(financial_status[[#This Row],[Date]])</f>
        <v>12</v>
      </c>
      <c r="C257">
        <f>YEAR(financial_status[[#This Row],[Date]])</f>
        <v>2023</v>
      </c>
      <c r="D257" t="s">
        <v>21</v>
      </c>
      <c r="E257" t="s">
        <v>9</v>
      </c>
      <c r="F257">
        <v>80531</v>
      </c>
      <c r="G257">
        <v>28505</v>
      </c>
      <c r="H257">
        <v>52026</v>
      </c>
      <c r="I257">
        <v>7295</v>
      </c>
    </row>
    <row r="258" spans="1:9" x14ac:dyDescent="0.3">
      <c r="A258" t="s">
        <v>160</v>
      </c>
      <c r="B258">
        <f>MONTH(financial_status[[#This Row],[Date]])</f>
        <v>12</v>
      </c>
      <c r="C258">
        <f>YEAR(financial_status[[#This Row],[Date]])</f>
        <v>2023</v>
      </c>
      <c r="D258" t="s">
        <v>21</v>
      </c>
      <c r="E258" t="s">
        <v>12</v>
      </c>
      <c r="F258">
        <v>84611</v>
      </c>
      <c r="G258">
        <v>62835</v>
      </c>
      <c r="H258">
        <v>21776</v>
      </c>
      <c r="I258">
        <v>17991</v>
      </c>
    </row>
    <row r="259" spans="1:9" x14ac:dyDescent="0.3">
      <c r="A259" t="s">
        <v>146</v>
      </c>
      <c r="B259">
        <f>MONTH(financial_status[[#This Row],[Date]])</f>
        <v>1</v>
      </c>
      <c r="C259">
        <f>YEAR(financial_status[[#This Row],[Date]])</f>
        <v>2024</v>
      </c>
      <c r="D259" t="s">
        <v>15</v>
      </c>
      <c r="E259" t="s">
        <v>9</v>
      </c>
      <c r="F259">
        <v>87834</v>
      </c>
      <c r="G259">
        <v>75692</v>
      </c>
      <c r="H259">
        <v>12142</v>
      </c>
      <c r="I259">
        <v>7903</v>
      </c>
    </row>
    <row r="260" spans="1:9" x14ac:dyDescent="0.3">
      <c r="A260" t="s">
        <v>118</v>
      </c>
      <c r="B260">
        <f>MONTH(financial_status[[#This Row],[Date]])</f>
        <v>1</v>
      </c>
      <c r="C260">
        <f>YEAR(financial_status[[#This Row],[Date]])</f>
        <v>2024</v>
      </c>
      <c r="D260" t="s">
        <v>8</v>
      </c>
      <c r="E260" t="s">
        <v>9</v>
      </c>
      <c r="F260">
        <v>55427</v>
      </c>
      <c r="G260">
        <v>17236</v>
      </c>
      <c r="H260">
        <v>38191</v>
      </c>
      <c r="I260">
        <v>11233</v>
      </c>
    </row>
    <row r="261" spans="1:9" x14ac:dyDescent="0.3">
      <c r="A261" t="s">
        <v>89</v>
      </c>
      <c r="B261">
        <f>MONTH(financial_status[[#This Row],[Date]])</f>
        <v>1</v>
      </c>
      <c r="C261">
        <f>YEAR(financial_status[[#This Row],[Date]])</f>
        <v>2024</v>
      </c>
      <c r="D261" t="s">
        <v>15</v>
      </c>
      <c r="E261" t="s">
        <v>12</v>
      </c>
      <c r="F261">
        <v>29753</v>
      </c>
      <c r="G261">
        <v>89197</v>
      </c>
      <c r="H261">
        <v>-59444</v>
      </c>
      <c r="I261">
        <v>14030</v>
      </c>
    </row>
    <row r="262" spans="1:9" x14ac:dyDescent="0.3">
      <c r="A262" t="s">
        <v>256</v>
      </c>
      <c r="B262">
        <f>MONTH(financial_status[[#This Row],[Date]])</f>
        <v>1</v>
      </c>
      <c r="C262">
        <f>YEAR(financial_status[[#This Row],[Date]])</f>
        <v>2024</v>
      </c>
      <c r="D262" t="s">
        <v>21</v>
      </c>
      <c r="E262" t="s">
        <v>23</v>
      </c>
      <c r="F262">
        <v>36728</v>
      </c>
      <c r="G262">
        <v>57182</v>
      </c>
      <c r="H262">
        <v>-20454</v>
      </c>
      <c r="I262">
        <v>2346</v>
      </c>
    </row>
    <row r="263" spans="1:9" x14ac:dyDescent="0.3">
      <c r="A263" t="s">
        <v>102</v>
      </c>
      <c r="B263">
        <f>MONTH(financial_status[[#This Row],[Date]])</f>
        <v>1</v>
      </c>
      <c r="C263">
        <f>YEAR(financial_status[[#This Row],[Date]])</f>
        <v>2024</v>
      </c>
      <c r="D263" t="s">
        <v>21</v>
      </c>
      <c r="E263" t="s">
        <v>23</v>
      </c>
      <c r="F263">
        <v>48086</v>
      </c>
      <c r="G263">
        <v>54172</v>
      </c>
      <c r="H263">
        <v>-6086</v>
      </c>
      <c r="I263">
        <v>11893</v>
      </c>
    </row>
    <row r="264" spans="1:9" x14ac:dyDescent="0.3">
      <c r="A264" t="s">
        <v>255</v>
      </c>
      <c r="B264">
        <f>MONTH(financial_status[[#This Row],[Date]])</f>
        <v>1</v>
      </c>
      <c r="C264">
        <f>YEAR(financial_status[[#This Row],[Date]])</f>
        <v>2024</v>
      </c>
      <c r="D264" t="s">
        <v>11</v>
      </c>
      <c r="E264" t="s">
        <v>23</v>
      </c>
      <c r="F264">
        <v>53663</v>
      </c>
      <c r="G264">
        <v>75218</v>
      </c>
      <c r="H264">
        <v>-21555</v>
      </c>
      <c r="I264">
        <v>3702</v>
      </c>
    </row>
    <row r="265" spans="1:9" x14ac:dyDescent="0.3">
      <c r="A265" t="s">
        <v>145</v>
      </c>
      <c r="B265">
        <f>MONTH(financial_status[[#This Row],[Date]])</f>
        <v>1</v>
      </c>
      <c r="C265">
        <f>YEAR(financial_status[[#This Row],[Date]])</f>
        <v>2024</v>
      </c>
      <c r="D265" t="s">
        <v>11</v>
      </c>
      <c r="E265" t="s">
        <v>23</v>
      </c>
      <c r="F265">
        <v>102913</v>
      </c>
      <c r="G265">
        <v>86317</v>
      </c>
      <c r="H265">
        <v>16596</v>
      </c>
      <c r="I265">
        <v>6926</v>
      </c>
    </row>
    <row r="266" spans="1:9" x14ac:dyDescent="0.3">
      <c r="A266" t="s">
        <v>155</v>
      </c>
      <c r="B266">
        <f>MONTH(financial_status[[#This Row],[Date]])</f>
        <v>1</v>
      </c>
      <c r="C266">
        <f>YEAR(financial_status[[#This Row],[Date]])</f>
        <v>2024</v>
      </c>
      <c r="D266" t="s">
        <v>21</v>
      </c>
      <c r="E266" t="s">
        <v>9</v>
      </c>
      <c r="F266">
        <v>37814</v>
      </c>
      <c r="G266">
        <v>37256</v>
      </c>
      <c r="H266">
        <v>558</v>
      </c>
      <c r="I266">
        <v>7836</v>
      </c>
    </row>
    <row r="267" spans="1:9" x14ac:dyDescent="0.3">
      <c r="A267" t="s">
        <v>62</v>
      </c>
      <c r="B267">
        <f>MONTH(financial_status[[#This Row],[Date]])</f>
        <v>1</v>
      </c>
      <c r="C267">
        <f>YEAR(financial_status[[#This Row],[Date]])</f>
        <v>2024</v>
      </c>
      <c r="D267" t="s">
        <v>21</v>
      </c>
      <c r="E267" t="s">
        <v>12</v>
      </c>
      <c r="F267">
        <v>87692</v>
      </c>
      <c r="G267">
        <v>57665</v>
      </c>
      <c r="H267">
        <v>30027</v>
      </c>
      <c r="I267">
        <v>2014</v>
      </c>
    </row>
    <row r="268" spans="1:9" x14ac:dyDescent="0.3">
      <c r="A268" t="s">
        <v>62</v>
      </c>
      <c r="B268">
        <f>MONTH(financial_status[[#This Row],[Date]])</f>
        <v>1</v>
      </c>
      <c r="C268">
        <f>YEAR(financial_status[[#This Row],[Date]])</f>
        <v>2024</v>
      </c>
      <c r="D268" t="s">
        <v>8</v>
      </c>
      <c r="E268" t="s">
        <v>23</v>
      </c>
      <c r="F268">
        <v>113862</v>
      </c>
      <c r="G268">
        <v>27896</v>
      </c>
      <c r="H268">
        <v>85966</v>
      </c>
      <c r="I268">
        <v>5899</v>
      </c>
    </row>
    <row r="269" spans="1:9" x14ac:dyDescent="0.3">
      <c r="A269" t="s">
        <v>254</v>
      </c>
      <c r="B269">
        <f>MONTH(financial_status[[#This Row],[Date]])</f>
        <v>1</v>
      </c>
      <c r="C269">
        <f>YEAR(financial_status[[#This Row],[Date]])</f>
        <v>2024</v>
      </c>
      <c r="D269" t="s">
        <v>11</v>
      </c>
      <c r="E269" t="s">
        <v>23</v>
      </c>
      <c r="F269">
        <v>43727</v>
      </c>
      <c r="G269">
        <v>47529</v>
      </c>
      <c r="H269">
        <v>-3802</v>
      </c>
      <c r="I269">
        <v>17126</v>
      </c>
    </row>
    <row r="270" spans="1:9" x14ac:dyDescent="0.3">
      <c r="A270" t="s">
        <v>14</v>
      </c>
      <c r="B270">
        <f>MONTH(financial_status[[#This Row],[Date]])</f>
        <v>1</v>
      </c>
      <c r="C270">
        <f>YEAR(financial_status[[#This Row],[Date]])</f>
        <v>2024</v>
      </c>
      <c r="D270" t="s">
        <v>15</v>
      </c>
      <c r="E270" t="s">
        <v>12</v>
      </c>
      <c r="F270">
        <v>108599</v>
      </c>
      <c r="G270">
        <v>12866</v>
      </c>
      <c r="H270">
        <v>95733</v>
      </c>
      <c r="I270">
        <v>14205</v>
      </c>
    </row>
    <row r="271" spans="1:9" x14ac:dyDescent="0.3">
      <c r="A271" t="s">
        <v>113</v>
      </c>
      <c r="B271">
        <f>MONTH(financial_status[[#This Row],[Date]])</f>
        <v>2</v>
      </c>
      <c r="C271">
        <f>YEAR(financial_status[[#This Row],[Date]])</f>
        <v>2024</v>
      </c>
      <c r="D271" t="s">
        <v>8</v>
      </c>
      <c r="E271" t="s">
        <v>12</v>
      </c>
      <c r="F271">
        <v>119731</v>
      </c>
      <c r="G271">
        <v>77634</v>
      </c>
      <c r="H271">
        <v>42097</v>
      </c>
      <c r="I271">
        <v>14103</v>
      </c>
    </row>
    <row r="272" spans="1:9" x14ac:dyDescent="0.3">
      <c r="A272" t="s">
        <v>71</v>
      </c>
      <c r="B272">
        <f>MONTH(financial_status[[#This Row],[Date]])</f>
        <v>2</v>
      </c>
      <c r="C272">
        <f>YEAR(financial_status[[#This Row],[Date]])</f>
        <v>2024</v>
      </c>
      <c r="D272" t="s">
        <v>15</v>
      </c>
      <c r="E272" t="s">
        <v>23</v>
      </c>
      <c r="F272">
        <v>65130</v>
      </c>
      <c r="G272">
        <v>72741</v>
      </c>
      <c r="H272">
        <v>-7611</v>
      </c>
      <c r="I272">
        <v>6860</v>
      </c>
    </row>
    <row r="273" spans="1:9" x14ac:dyDescent="0.3">
      <c r="A273" t="s">
        <v>212</v>
      </c>
      <c r="B273">
        <f>MONTH(financial_status[[#This Row],[Date]])</f>
        <v>2</v>
      </c>
      <c r="C273">
        <f>YEAR(financial_status[[#This Row],[Date]])</f>
        <v>2024</v>
      </c>
      <c r="D273" t="s">
        <v>8</v>
      </c>
      <c r="E273" t="s">
        <v>23</v>
      </c>
      <c r="F273">
        <v>88485</v>
      </c>
      <c r="G273">
        <v>67804</v>
      </c>
      <c r="H273">
        <v>20681</v>
      </c>
      <c r="I273">
        <v>10516</v>
      </c>
    </row>
    <row r="274" spans="1:9" x14ac:dyDescent="0.3">
      <c r="A274" t="s">
        <v>55</v>
      </c>
      <c r="B274">
        <f>MONTH(financial_status[[#This Row],[Date]])</f>
        <v>2</v>
      </c>
      <c r="C274">
        <f>YEAR(financial_status[[#This Row],[Date]])</f>
        <v>2024</v>
      </c>
      <c r="D274" t="s">
        <v>21</v>
      </c>
      <c r="E274" t="s">
        <v>23</v>
      </c>
      <c r="F274">
        <v>20309</v>
      </c>
      <c r="G274">
        <v>54353</v>
      </c>
      <c r="H274">
        <v>-34044</v>
      </c>
      <c r="I274">
        <v>7044</v>
      </c>
    </row>
    <row r="275" spans="1:9" x14ac:dyDescent="0.3">
      <c r="A275" t="s">
        <v>69</v>
      </c>
      <c r="B275">
        <f>MONTH(financial_status[[#This Row],[Date]])</f>
        <v>2</v>
      </c>
      <c r="C275">
        <f>YEAR(financial_status[[#This Row],[Date]])</f>
        <v>2024</v>
      </c>
      <c r="D275" t="s">
        <v>8</v>
      </c>
      <c r="E275" t="s">
        <v>23</v>
      </c>
      <c r="F275">
        <v>89432</v>
      </c>
      <c r="G275">
        <v>40109</v>
      </c>
      <c r="H275">
        <v>49323</v>
      </c>
      <c r="I275">
        <v>16463</v>
      </c>
    </row>
    <row r="276" spans="1:9" x14ac:dyDescent="0.3">
      <c r="A276" t="s">
        <v>22</v>
      </c>
      <c r="B276">
        <f>MONTH(financial_status[[#This Row],[Date]])</f>
        <v>3</v>
      </c>
      <c r="C276">
        <f>YEAR(financial_status[[#This Row],[Date]])</f>
        <v>2024</v>
      </c>
      <c r="D276" t="s">
        <v>15</v>
      </c>
      <c r="E276" t="s">
        <v>23</v>
      </c>
      <c r="F276">
        <v>55388</v>
      </c>
      <c r="G276">
        <v>30283</v>
      </c>
      <c r="H276">
        <v>25105</v>
      </c>
      <c r="I276">
        <v>18065</v>
      </c>
    </row>
    <row r="277" spans="1:9" x14ac:dyDescent="0.3">
      <c r="A277" t="s">
        <v>22</v>
      </c>
      <c r="B277">
        <f>MONTH(financial_status[[#This Row],[Date]])</f>
        <v>3</v>
      </c>
      <c r="C277">
        <f>YEAR(financial_status[[#This Row],[Date]])</f>
        <v>2024</v>
      </c>
      <c r="D277" t="s">
        <v>11</v>
      </c>
      <c r="E277" t="s">
        <v>23</v>
      </c>
      <c r="F277">
        <v>28584</v>
      </c>
      <c r="G277">
        <v>79474</v>
      </c>
      <c r="H277">
        <v>-50890</v>
      </c>
      <c r="I277">
        <v>7810</v>
      </c>
    </row>
    <row r="278" spans="1:9" x14ac:dyDescent="0.3">
      <c r="A278" t="s">
        <v>224</v>
      </c>
      <c r="B278">
        <f>MONTH(financial_status[[#This Row],[Date]])</f>
        <v>3</v>
      </c>
      <c r="C278">
        <f>YEAR(financial_status[[#This Row],[Date]])</f>
        <v>2024</v>
      </c>
      <c r="D278" t="s">
        <v>11</v>
      </c>
      <c r="E278" t="s">
        <v>9</v>
      </c>
      <c r="F278">
        <v>46847</v>
      </c>
      <c r="G278">
        <v>21236</v>
      </c>
      <c r="H278">
        <v>25611</v>
      </c>
      <c r="I278">
        <v>7729</v>
      </c>
    </row>
    <row r="279" spans="1:9" x14ac:dyDescent="0.3">
      <c r="A279" t="s">
        <v>205</v>
      </c>
      <c r="B279">
        <f>MONTH(financial_status[[#This Row],[Date]])</f>
        <v>3</v>
      </c>
      <c r="C279">
        <f>YEAR(financial_status[[#This Row],[Date]])</f>
        <v>2024</v>
      </c>
      <c r="D279" t="s">
        <v>15</v>
      </c>
      <c r="E279" t="s">
        <v>9</v>
      </c>
      <c r="F279">
        <v>26753</v>
      </c>
      <c r="G279">
        <v>69665</v>
      </c>
      <c r="H279">
        <v>-42912</v>
      </c>
      <c r="I279">
        <v>18052</v>
      </c>
    </row>
    <row r="280" spans="1:9" x14ac:dyDescent="0.3">
      <c r="A280" t="s">
        <v>82</v>
      </c>
      <c r="B280">
        <f>MONTH(financial_status[[#This Row],[Date]])</f>
        <v>3</v>
      </c>
      <c r="C280">
        <f>YEAR(financial_status[[#This Row],[Date]])</f>
        <v>2024</v>
      </c>
      <c r="D280" t="s">
        <v>21</v>
      </c>
      <c r="E280" t="s">
        <v>12</v>
      </c>
      <c r="F280">
        <v>28769</v>
      </c>
      <c r="G280">
        <v>41173</v>
      </c>
      <c r="H280">
        <v>-12404</v>
      </c>
      <c r="I280">
        <v>9855</v>
      </c>
    </row>
    <row r="281" spans="1:9" x14ac:dyDescent="0.3">
      <c r="A281" t="s">
        <v>80</v>
      </c>
      <c r="B281">
        <f>MONTH(financial_status[[#This Row],[Date]])</f>
        <v>3</v>
      </c>
      <c r="C281">
        <f>YEAR(financial_status[[#This Row],[Date]])</f>
        <v>2024</v>
      </c>
      <c r="D281" t="s">
        <v>21</v>
      </c>
      <c r="E281" t="s">
        <v>19</v>
      </c>
      <c r="F281">
        <v>66032</v>
      </c>
      <c r="G281">
        <v>65583</v>
      </c>
      <c r="H281">
        <v>449</v>
      </c>
      <c r="I281">
        <v>7860</v>
      </c>
    </row>
    <row r="282" spans="1:9" x14ac:dyDescent="0.3">
      <c r="A282" t="s">
        <v>26</v>
      </c>
      <c r="B282">
        <f>MONTH(financial_status[[#This Row],[Date]])</f>
        <v>3</v>
      </c>
      <c r="C282">
        <f>YEAR(financial_status[[#This Row],[Date]])</f>
        <v>2024</v>
      </c>
      <c r="D282" t="s">
        <v>15</v>
      </c>
      <c r="E282" t="s">
        <v>12</v>
      </c>
      <c r="F282">
        <v>106096</v>
      </c>
      <c r="G282">
        <v>27338</v>
      </c>
      <c r="H282">
        <v>78758</v>
      </c>
      <c r="I282">
        <v>11249</v>
      </c>
    </row>
    <row r="283" spans="1:9" x14ac:dyDescent="0.3">
      <c r="A283" t="s">
        <v>235</v>
      </c>
      <c r="B283">
        <f>MONTH(financial_status[[#This Row],[Date]])</f>
        <v>3</v>
      </c>
      <c r="C283">
        <f>YEAR(financial_status[[#This Row],[Date]])</f>
        <v>2024</v>
      </c>
      <c r="D283" t="s">
        <v>8</v>
      </c>
      <c r="E283" t="s">
        <v>23</v>
      </c>
      <c r="F283">
        <v>44596</v>
      </c>
      <c r="G283">
        <v>81090</v>
      </c>
      <c r="H283">
        <v>-36494</v>
      </c>
      <c r="I283">
        <v>4121</v>
      </c>
    </row>
    <row r="284" spans="1:9" x14ac:dyDescent="0.3">
      <c r="A284" t="s">
        <v>74</v>
      </c>
      <c r="B284">
        <f>MONTH(financial_status[[#This Row],[Date]])</f>
        <v>4</v>
      </c>
      <c r="C284">
        <f>YEAR(financial_status[[#This Row],[Date]])</f>
        <v>2024</v>
      </c>
      <c r="D284" t="s">
        <v>8</v>
      </c>
      <c r="E284" t="s">
        <v>12</v>
      </c>
      <c r="F284">
        <v>109845</v>
      </c>
      <c r="G284">
        <v>13723</v>
      </c>
      <c r="H284">
        <v>96122</v>
      </c>
      <c r="I284">
        <v>6627</v>
      </c>
    </row>
    <row r="285" spans="1:9" x14ac:dyDescent="0.3">
      <c r="A285" t="s">
        <v>47</v>
      </c>
      <c r="B285">
        <f>MONTH(financial_status[[#This Row],[Date]])</f>
        <v>4</v>
      </c>
      <c r="C285">
        <f>YEAR(financial_status[[#This Row],[Date]])</f>
        <v>2024</v>
      </c>
      <c r="D285" t="s">
        <v>8</v>
      </c>
      <c r="E285" t="s">
        <v>12</v>
      </c>
      <c r="F285">
        <v>48968</v>
      </c>
      <c r="G285">
        <v>82358</v>
      </c>
      <c r="H285">
        <v>-33390</v>
      </c>
      <c r="I285">
        <v>13430</v>
      </c>
    </row>
    <row r="286" spans="1:9" x14ac:dyDescent="0.3">
      <c r="A286" t="s">
        <v>232</v>
      </c>
      <c r="B286">
        <f>MONTH(financial_status[[#This Row],[Date]])</f>
        <v>4</v>
      </c>
      <c r="C286">
        <f>YEAR(financial_status[[#This Row],[Date]])</f>
        <v>2024</v>
      </c>
      <c r="D286" t="s">
        <v>21</v>
      </c>
      <c r="E286" t="s">
        <v>23</v>
      </c>
      <c r="F286">
        <v>88055</v>
      </c>
      <c r="G286">
        <v>67750</v>
      </c>
      <c r="H286">
        <v>20305</v>
      </c>
      <c r="I286">
        <v>16651</v>
      </c>
    </row>
    <row r="287" spans="1:9" x14ac:dyDescent="0.3">
      <c r="A287" t="s">
        <v>65</v>
      </c>
      <c r="B287">
        <f>MONTH(financial_status[[#This Row],[Date]])</f>
        <v>5</v>
      </c>
      <c r="C287">
        <f>YEAR(financial_status[[#This Row],[Date]])</f>
        <v>2024</v>
      </c>
      <c r="D287" t="s">
        <v>8</v>
      </c>
      <c r="E287" t="s">
        <v>23</v>
      </c>
      <c r="F287">
        <v>44077</v>
      </c>
      <c r="G287">
        <v>18313</v>
      </c>
      <c r="H287">
        <v>25764</v>
      </c>
      <c r="I287">
        <v>3799</v>
      </c>
    </row>
    <row r="288" spans="1:9" x14ac:dyDescent="0.3">
      <c r="A288" t="s">
        <v>166</v>
      </c>
      <c r="B288">
        <f>MONTH(financial_status[[#This Row],[Date]])</f>
        <v>5</v>
      </c>
      <c r="C288">
        <f>YEAR(financial_status[[#This Row],[Date]])</f>
        <v>2024</v>
      </c>
      <c r="D288" t="s">
        <v>21</v>
      </c>
      <c r="E288" t="s">
        <v>23</v>
      </c>
      <c r="F288">
        <v>29649</v>
      </c>
      <c r="G288">
        <v>73874</v>
      </c>
      <c r="H288">
        <v>-44225</v>
      </c>
      <c r="I288">
        <v>15022</v>
      </c>
    </row>
    <row r="289" spans="1:9" x14ac:dyDescent="0.3">
      <c r="A289" t="s">
        <v>215</v>
      </c>
      <c r="B289">
        <f>MONTH(financial_status[[#This Row],[Date]])</f>
        <v>5</v>
      </c>
      <c r="C289">
        <f>YEAR(financial_status[[#This Row],[Date]])</f>
        <v>2024</v>
      </c>
      <c r="D289" t="s">
        <v>21</v>
      </c>
      <c r="E289" t="s">
        <v>12</v>
      </c>
      <c r="F289">
        <v>54141</v>
      </c>
      <c r="G289">
        <v>72393</v>
      </c>
      <c r="H289">
        <v>-18252</v>
      </c>
      <c r="I289">
        <v>11272</v>
      </c>
    </row>
    <row r="290" spans="1:9" x14ac:dyDescent="0.3">
      <c r="A290" t="s">
        <v>165</v>
      </c>
      <c r="B290">
        <f>MONTH(financial_status[[#This Row],[Date]])</f>
        <v>5</v>
      </c>
      <c r="C290">
        <f>YEAR(financial_status[[#This Row],[Date]])</f>
        <v>2024</v>
      </c>
      <c r="D290" t="s">
        <v>15</v>
      </c>
      <c r="E290" t="s">
        <v>19</v>
      </c>
      <c r="F290">
        <v>107708</v>
      </c>
      <c r="G290">
        <v>64586</v>
      </c>
      <c r="H290">
        <v>43122</v>
      </c>
      <c r="I290">
        <v>10875</v>
      </c>
    </row>
    <row r="291" spans="1:9" x14ac:dyDescent="0.3">
      <c r="A291" t="s">
        <v>180</v>
      </c>
      <c r="B291">
        <f>MONTH(financial_status[[#This Row],[Date]])</f>
        <v>5</v>
      </c>
      <c r="C291">
        <f>YEAR(financial_status[[#This Row],[Date]])</f>
        <v>2024</v>
      </c>
      <c r="D291" t="s">
        <v>8</v>
      </c>
      <c r="E291" t="s">
        <v>9</v>
      </c>
      <c r="F291">
        <v>62787</v>
      </c>
      <c r="G291">
        <v>38690</v>
      </c>
      <c r="H291">
        <v>24097</v>
      </c>
      <c r="I291">
        <v>6828</v>
      </c>
    </row>
    <row r="292" spans="1:9" x14ac:dyDescent="0.3">
      <c r="A292" t="s">
        <v>58</v>
      </c>
      <c r="B292">
        <f>MONTH(financial_status[[#This Row],[Date]])</f>
        <v>5</v>
      </c>
      <c r="C292">
        <f>YEAR(financial_status[[#This Row],[Date]])</f>
        <v>2024</v>
      </c>
      <c r="D292" t="s">
        <v>15</v>
      </c>
      <c r="E292" t="s">
        <v>23</v>
      </c>
      <c r="F292">
        <v>80460</v>
      </c>
      <c r="G292">
        <v>73430</v>
      </c>
      <c r="H292">
        <v>7030</v>
      </c>
      <c r="I292">
        <v>17335</v>
      </c>
    </row>
    <row r="293" spans="1:9" x14ac:dyDescent="0.3">
      <c r="A293" t="s">
        <v>203</v>
      </c>
      <c r="B293">
        <f>MONTH(financial_status[[#This Row],[Date]])</f>
        <v>6</v>
      </c>
      <c r="C293">
        <f>YEAR(financial_status[[#This Row],[Date]])</f>
        <v>2024</v>
      </c>
      <c r="D293" t="s">
        <v>8</v>
      </c>
      <c r="E293" t="s">
        <v>23</v>
      </c>
      <c r="F293">
        <v>86859</v>
      </c>
      <c r="G293">
        <v>89857</v>
      </c>
      <c r="H293">
        <v>-2998</v>
      </c>
      <c r="I293">
        <v>9050</v>
      </c>
    </row>
    <row r="294" spans="1:9" x14ac:dyDescent="0.3">
      <c r="A294" t="s">
        <v>272</v>
      </c>
      <c r="B294">
        <f>MONTH(financial_status[[#This Row],[Date]])</f>
        <v>6</v>
      </c>
      <c r="C294">
        <f>YEAR(financial_status[[#This Row],[Date]])</f>
        <v>2024</v>
      </c>
      <c r="D294" t="s">
        <v>15</v>
      </c>
      <c r="E294" t="s">
        <v>19</v>
      </c>
      <c r="F294">
        <v>55172</v>
      </c>
      <c r="G294">
        <v>10822</v>
      </c>
      <c r="H294">
        <v>44350</v>
      </c>
      <c r="I294">
        <v>5144</v>
      </c>
    </row>
    <row r="295" spans="1:9" x14ac:dyDescent="0.3">
      <c r="A295" t="s">
        <v>41</v>
      </c>
      <c r="B295">
        <f>MONTH(financial_status[[#This Row],[Date]])</f>
        <v>6</v>
      </c>
      <c r="C295">
        <f>YEAR(financial_status[[#This Row],[Date]])</f>
        <v>2024</v>
      </c>
      <c r="D295" t="s">
        <v>8</v>
      </c>
      <c r="E295" t="s">
        <v>9</v>
      </c>
      <c r="F295">
        <v>79143</v>
      </c>
      <c r="G295">
        <v>19444</v>
      </c>
      <c r="H295">
        <v>59699</v>
      </c>
      <c r="I295">
        <v>18099</v>
      </c>
    </row>
    <row r="296" spans="1:9" x14ac:dyDescent="0.3">
      <c r="A296" t="s">
        <v>170</v>
      </c>
      <c r="B296">
        <f>MONTH(financial_status[[#This Row],[Date]])</f>
        <v>6</v>
      </c>
      <c r="C296">
        <f>YEAR(financial_status[[#This Row],[Date]])</f>
        <v>2024</v>
      </c>
      <c r="D296" t="s">
        <v>21</v>
      </c>
      <c r="E296" t="s">
        <v>12</v>
      </c>
      <c r="F296">
        <v>78742</v>
      </c>
      <c r="G296">
        <v>89987</v>
      </c>
      <c r="H296">
        <v>-11245</v>
      </c>
      <c r="I296">
        <v>15852</v>
      </c>
    </row>
    <row r="297" spans="1:9" x14ac:dyDescent="0.3">
      <c r="A297" t="s">
        <v>66</v>
      </c>
      <c r="B297">
        <f>MONTH(financial_status[[#This Row],[Date]])</f>
        <v>6</v>
      </c>
      <c r="C297">
        <f>YEAR(financial_status[[#This Row],[Date]])</f>
        <v>2024</v>
      </c>
      <c r="D297" t="s">
        <v>21</v>
      </c>
      <c r="E297" t="s">
        <v>9</v>
      </c>
      <c r="F297">
        <v>55608</v>
      </c>
      <c r="G297">
        <v>14957</v>
      </c>
      <c r="H297">
        <v>40651</v>
      </c>
      <c r="I297">
        <v>4399</v>
      </c>
    </row>
    <row r="298" spans="1:9" x14ac:dyDescent="0.3">
      <c r="A298" t="s">
        <v>93</v>
      </c>
      <c r="B298">
        <f>MONTH(financial_status[[#This Row],[Date]])</f>
        <v>6</v>
      </c>
      <c r="C298">
        <f>YEAR(financial_status[[#This Row],[Date]])</f>
        <v>2024</v>
      </c>
      <c r="D298" t="s">
        <v>11</v>
      </c>
      <c r="E298" t="s">
        <v>19</v>
      </c>
      <c r="F298">
        <v>97365</v>
      </c>
      <c r="G298">
        <v>37713</v>
      </c>
      <c r="H298">
        <v>59652</v>
      </c>
      <c r="I298">
        <v>12714</v>
      </c>
    </row>
    <row r="299" spans="1:9" x14ac:dyDescent="0.3">
      <c r="A299" t="s">
        <v>93</v>
      </c>
      <c r="B299">
        <f>MONTH(financial_status[[#This Row],[Date]])</f>
        <v>6</v>
      </c>
      <c r="C299">
        <f>YEAR(financial_status[[#This Row],[Date]])</f>
        <v>2024</v>
      </c>
      <c r="D299" t="s">
        <v>21</v>
      </c>
      <c r="E299" t="s">
        <v>9</v>
      </c>
      <c r="F299">
        <v>106604</v>
      </c>
      <c r="G299">
        <v>33494</v>
      </c>
      <c r="H299">
        <v>73110</v>
      </c>
      <c r="I299">
        <v>6930</v>
      </c>
    </row>
    <row r="300" spans="1:9" x14ac:dyDescent="0.3">
      <c r="A300" t="s">
        <v>93</v>
      </c>
      <c r="B300">
        <f>MONTH(financial_status[[#This Row],[Date]])</f>
        <v>6</v>
      </c>
      <c r="C300">
        <f>YEAR(financial_status[[#This Row],[Date]])</f>
        <v>2024</v>
      </c>
      <c r="D300" t="s">
        <v>21</v>
      </c>
      <c r="E300" t="s">
        <v>9</v>
      </c>
      <c r="F300">
        <v>97173</v>
      </c>
      <c r="G300">
        <v>56693</v>
      </c>
      <c r="H300">
        <v>40480</v>
      </c>
      <c r="I300">
        <v>8889</v>
      </c>
    </row>
    <row r="301" spans="1:9" x14ac:dyDescent="0.3">
      <c r="A301" t="s">
        <v>93</v>
      </c>
      <c r="B301">
        <f>MONTH(financial_status[[#This Row],[Date]])</f>
        <v>6</v>
      </c>
      <c r="C301">
        <f>YEAR(financial_status[[#This Row],[Date]])</f>
        <v>2024</v>
      </c>
      <c r="D301" t="s">
        <v>15</v>
      </c>
      <c r="E301" t="s">
        <v>19</v>
      </c>
      <c r="F301">
        <v>73085</v>
      </c>
      <c r="G301">
        <v>49443</v>
      </c>
      <c r="H301">
        <v>23642</v>
      </c>
      <c r="I301">
        <v>9151</v>
      </c>
    </row>
  </sheetData>
  <sortState xmlns:xlrd2="http://schemas.microsoft.com/office/spreadsheetml/2017/richdata2" ref="A2:I301">
    <sortCondition ref="A2:A301"/>
  </sortState>
  <pageMargins left="0.75" right="0.75" top="1" bottom="1" header="0.5" footer="0.5"/>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F319-7523-44FE-BAD5-4878A7A110D7}">
  <dimension ref="A1"/>
  <sheetViews>
    <sheetView showGridLines="0" showRowColHeaders="0" tabSelected="1" zoomScale="91" zoomScaleNormal="83" workbookViewId="0">
      <selection activeCell="T6" sqref="T6"/>
    </sheetView>
  </sheetViews>
  <sheetFormatPr defaultRowHeight="14" x14ac:dyDescent="0.3"/>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revenue vs expenses</vt:lpstr>
      <vt:lpstr>Monthly revenue</vt:lpstr>
      <vt:lpstr>profit by region</vt:lpstr>
      <vt:lpstr>profit by category</vt:lpstr>
      <vt:lpstr>Sheet9</vt:lpstr>
      <vt:lpstr>monthly profit </vt:lpstr>
      <vt:lpstr>Financial_Data</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Prapti Borkar</cp:lastModifiedBy>
  <cp:lastPrinted>2026-03-06T15:58:04Z</cp:lastPrinted>
  <dcterms:created xsi:type="dcterms:W3CDTF">2026-03-06T12:27:22Z</dcterms:created>
  <dcterms:modified xsi:type="dcterms:W3CDTF">2026-03-06T15:58:18Z</dcterms:modified>
</cp:coreProperties>
</file>